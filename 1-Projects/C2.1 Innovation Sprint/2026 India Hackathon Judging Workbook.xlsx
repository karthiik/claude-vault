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arthik/Documents/3 - Resources/Vaults/SecondBrain26/1-Projects/C2.1 Innovation Sprint/"/>
    </mc:Choice>
  </mc:AlternateContent>
  <xr:revisionPtr revIDLastSave="0" documentId="8_{B12514A9-11AB-B041-895C-C570806D39F6}" xr6:coauthVersionLast="47" xr6:coauthVersionMax="47" xr10:uidLastSave="{00000000-0000-0000-0000-000000000000}"/>
  <bookViews>
    <workbookView xWindow="57060" yWindow="620" windowWidth="33160" windowHeight="26360" tabRatio="500" activeTab="1" xr2:uid="{00000000-000D-0000-FFFF-FFFF00000000}"/>
  </bookViews>
  <sheets>
    <sheet name="📋 Instructions" sheetId="1" r:id="rId1"/>
    <sheet name="Byron" sheetId="2" r:id="rId2"/>
    <sheet name="Karthik" sheetId="3" r:id="rId3"/>
    <sheet name="Molly" sheetId="4" r:id="rId4"/>
    <sheet name="Jamie" sheetId="5" r:id="rId5"/>
    <sheet name="📊 Summary" sheetId="6" r:id="rId6"/>
    <sheet name="🏅 Ranking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7" i="5" l="1"/>
  <c r="F16" i="6" s="1"/>
  <c r="H16" i="5"/>
  <c r="F15" i="6" s="1"/>
  <c r="H15" i="5"/>
  <c r="F14" i="6" s="1"/>
  <c r="H14" i="5"/>
  <c r="F13" i="6" s="1"/>
  <c r="H13" i="5"/>
  <c r="F12" i="6" s="1"/>
  <c r="H12" i="5"/>
  <c r="F11" i="6" s="1"/>
  <c r="H11" i="5"/>
  <c r="F10" i="6" s="1"/>
  <c r="H10" i="5"/>
  <c r="F9" i="6" s="1"/>
  <c r="H9" i="5"/>
  <c r="F8" i="6" s="1"/>
  <c r="H8" i="5"/>
  <c r="F7" i="6" s="1"/>
  <c r="H7" i="5"/>
  <c r="F6" i="6" s="1"/>
  <c r="H6" i="5"/>
  <c r="F5" i="6" s="1"/>
  <c r="H5" i="5"/>
  <c r="F4" i="6" s="1"/>
  <c r="H17" i="4"/>
  <c r="E16" i="6" s="1"/>
  <c r="H16" i="4"/>
  <c r="E15" i="6" s="1"/>
  <c r="H15" i="4"/>
  <c r="E14" i="6" s="1"/>
  <c r="H14" i="4"/>
  <c r="E13" i="6" s="1"/>
  <c r="H13" i="4"/>
  <c r="E12" i="6" s="1"/>
  <c r="H12" i="4"/>
  <c r="E11" i="6" s="1"/>
  <c r="H11" i="4"/>
  <c r="E10" i="6" s="1"/>
  <c r="H10" i="4"/>
  <c r="E9" i="6" s="1"/>
  <c r="H9" i="4"/>
  <c r="E8" i="6" s="1"/>
  <c r="H8" i="4"/>
  <c r="E7" i="6" s="1"/>
  <c r="H7" i="4"/>
  <c r="E6" i="6" s="1"/>
  <c r="H6" i="4"/>
  <c r="E5" i="6" s="1"/>
  <c r="H5" i="4"/>
  <c r="E4" i="6" s="1"/>
  <c r="H17" i="3"/>
  <c r="D16" i="6" s="1"/>
  <c r="H16" i="3"/>
  <c r="D15" i="6" s="1"/>
  <c r="H15" i="3"/>
  <c r="D14" i="6" s="1"/>
  <c r="H14" i="3"/>
  <c r="D13" i="6" s="1"/>
  <c r="H13" i="3"/>
  <c r="D12" i="6" s="1"/>
  <c r="H12" i="3"/>
  <c r="D11" i="6" s="1"/>
  <c r="H11" i="3"/>
  <c r="D10" i="6" s="1"/>
  <c r="H10" i="3"/>
  <c r="D9" i="6" s="1"/>
  <c r="H9" i="3"/>
  <c r="D8" i="6" s="1"/>
  <c r="H8" i="3"/>
  <c r="D7" i="6" s="1"/>
  <c r="H7" i="3"/>
  <c r="D6" i="6" s="1"/>
  <c r="H6" i="3"/>
  <c r="D5" i="6" s="1"/>
  <c r="H5" i="3"/>
  <c r="D4" i="6" s="1"/>
  <c r="H17" i="2"/>
  <c r="C16" i="6" s="1"/>
  <c r="G16" i="6" s="1"/>
  <c r="H16" i="2"/>
  <c r="C15" i="6" s="1"/>
  <c r="G15" i="6" s="1"/>
  <c r="H15" i="2"/>
  <c r="C14" i="6" s="1"/>
  <c r="G14" i="6" s="1"/>
  <c r="H14" i="2"/>
  <c r="C13" i="6" s="1"/>
  <c r="G13" i="6" s="1"/>
  <c r="H13" i="2"/>
  <c r="C12" i="6" s="1"/>
  <c r="G12" i="6" s="1"/>
  <c r="H12" i="2"/>
  <c r="C11" i="6" s="1"/>
  <c r="G11" i="6" s="1"/>
  <c r="H11" i="2"/>
  <c r="C10" i="6" s="1"/>
  <c r="G10" i="6" s="1"/>
  <c r="H10" i="2"/>
  <c r="C9" i="6" s="1"/>
  <c r="G9" i="6" s="1"/>
  <c r="H9" i="2"/>
  <c r="C8" i="6" s="1"/>
  <c r="G8" i="6" s="1"/>
  <c r="H8" i="2"/>
  <c r="C7" i="6" s="1"/>
  <c r="G7" i="6" s="1"/>
  <c r="H7" i="2"/>
  <c r="C6" i="6" s="1"/>
  <c r="G6" i="6" s="1"/>
  <c r="H6" i="2"/>
  <c r="C5" i="6" s="1"/>
  <c r="G5" i="6" s="1"/>
  <c r="H5" i="2"/>
  <c r="C4" i="6" s="1"/>
  <c r="G4" i="6" s="1"/>
  <c r="C16" i="7" l="1"/>
  <c r="B16" i="7"/>
  <c r="C15" i="7"/>
  <c r="B15" i="7"/>
  <c r="C14" i="7"/>
  <c r="B14" i="7"/>
  <c r="C13" i="7"/>
  <c r="B13" i="7"/>
  <c r="C12" i="7"/>
  <c r="B12" i="7"/>
  <c r="C11" i="7"/>
  <c r="B11" i="7"/>
  <c r="C10" i="7"/>
  <c r="B10" i="7"/>
  <c r="C9" i="7"/>
  <c r="B9" i="7"/>
  <c r="C8" i="7"/>
  <c r="B8" i="7"/>
  <c r="C7" i="7"/>
  <c r="B7" i="7"/>
  <c r="C6" i="7"/>
  <c r="B6" i="7"/>
  <c r="C5" i="7"/>
  <c r="B5" i="7"/>
  <c r="C4" i="7"/>
  <c r="B4" i="7"/>
</calcChain>
</file>

<file path=xl/sharedStrings.xml><?xml version="1.0" encoding="utf-8"?>
<sst xmlns="http://schemas.openxmlformats.org/spreadsheetml/2006/main" count="243" uniqueCount="124">
  <si>
    <t>🏆 GAS 2026 HACKATHON JUDGING WORKBOOK</t>
  </si>
  <si>
    <t>HOW TO USE THIS WORKBOOK</t>
  </si>
  <si>
    <t>STEP 1: Each Judge Uses Their Own Sheet</t>
  </si>
  <si>
    <t>• Byron scores on the "Byron" sheet</t>
  </si>
  <si>
    <t>• Karthik scores on the "Karthik" sheet</t>
  </si>
  <si>
    <t>• Molly scores on the "Molly" sheet</t>
  </si>
  <si>
    <t>• Jamie scores on the "Jamie" sheet</t>
  </si>
  <si>
    <t>STEP 2: Score Each Team 1-10 on Each Criterion</t>
  </si>
  <si>
    <t>• 1-2 = Needs Development — major gaps or missing elements</t>
  </si>
  <si>
    <t>• 3-4 = Emerging — partial attempt with room for growth</t>
  </si>
  <si>
    <t>• 5-6 = Solid Foundation — meets core requirements with potential to build on</t>
  </si>
  <si>
    <t>• 7-8 = Strong — well-executed solution that goes beyond basics</t>
  </si>
  <si>
    <t>• 9-10 = Exceptional — outstanding work that sets a new standard</t>
  </si>
  <si>
    <t>STEP 3: Add Quick Notes (Optional)</t>
  </si>
  <si>
    <t>• Use the "Quick Notes" column for standout observations</t>
  </si>
  <si>
    <t>• Helpful for discussion during deliberation</t>
  </si>
  <si>
    <t>STEP 4: Review Summary Sheet</t>
  </si>
  <si>
    <t>• "📊 Summary" shows all 4 judges' scores side by side</t>
  </si>
  <si>
    <t>• Average is auto-calculated once all judges complete scoring</t>
  </si>
  <si>
    <t>STEP 5: Announce Winners from Rankings Sheet</t>
  </si>
  <si>
    <t>• "🏅 Rankings" auto-sorts teams by average score</t>
  </si>
  <si>
    <t>• Top 3 are highlighted: Gold, Silver, Bronze</t>
  </si>
  <si>
    <t>JUDGING CRITERIA WEIGHTS</t>
  </si>
  <si>
    <t>• Problem Understanding &amp; Relevance: 10%</t>
  </si>
  <si>
    <t>• Innovation &amp; Creativity: 25%</t>
  </si>
  <si>
    <t>• Technical Implementation &amp; Responsible AI: 30%</t>
  </si>
  <si>
    <t>• Business Impact &amp; Usability: 25%</t>
  </si>
  <si>
    <t>• Presentation &amp; Q&amp;A: 10%</t>
  </si>
  <si>
    <t>💡 Tip: Use half-points (e.g., 6.5) when a team falls between levels.</t>
  </si>
  <si>
    <t>🏆 GAS 2026 HACKATHON - BYRON CLYMER</t>
  </si>
  <si>
    <t>Score each criterion 1-10 (10 = Excellent). Weighted Total auto-calculates.</t>
  </si>
  <si>
    <t>WEIGHTAGE →</t>
  </si>
  <si>
    <t>10%</t>
  </si>
  <si>
    <t>25%</t>
  </si>
  <si>
    <t>30%</t>
  </si>
  <si>
    <t>#</t>
  </si>
  <si>
    <t>Team</t>
  </si>
  <si>
    <t>Problem (10%)</t>
  </si>
  <si>
    <t>Innovation (25%)</t>
  </si>
  <si>
    <t>Technical (30%)</t>
  </si>
  <si>
    <t>Business (25%)</t>
  </si>
  <si>
    <t>Presentation (10%)</t>
  </si>
  <si>
    <t>Weighted Total</t>
  </si>
  <si>
    <t>Quick Notes</t>
  </si>
  <si>
    <t>Lockton Govern-Lens</t>
  </si>
  <si>
    <t>Lockton Tech Squad</t>
  </si>
  <si>
    <t>When reading goes too fast</t>
  </si>
  <si>
    <t>The Sentinels</t>
  </si>
  <si>
    <t>Lockathon</t>
  </si>
  <si>
    <t>Neural Ninjas</t>
  </si>
  <si>
    <t>need emp id</t>
  </si>
  <si>
    <t>Jnana Flux</t>
  </si>
  <si>
    <t>2 entry pts, like Teams interface</t>
  </si>
  <si>
    <t>Locktonauts</t>
  </si>
  <si>
    <t>add client payment and do a demo for Account</t>
  </si>
  <si>
    <t>Lockton AIvengers</t>
  </si>
  <si>
    <t>market themes</t>
  </si>
  <si>
    <t>Hack &amp; LOCK</t>
  </si>
  <si>
    <t>PO 360</t>
  </si>
  <si>
    <t>email interface, invoice processing</t>
  </si>
  <si>
    <t>Lockton Legends</t>
  </si>
  <si>
    <t>Ticket Hunters</t>
  </si>
  <si>
    <t>has revnewl info</t>
  </si>
  <si>
    <t>CloudMesh</t>
  </si>
  <si>
    <t>🏆 GAS 2026 HACKATHON - KARTHIK RAMADOSS</t>
  </si>
  <si>
    <t>Adhiraj P - IT Budget management. Chatbot. PowerBi dashboard. AI agent -&gt; stakeholders Forecasting agent. Future: get forecast recommendation.</t>
  </si>
  <si>
    <t>People Hub: Amal, Puru, Sathish, Divya, Bharathi, Hema. Associate Directory- Unified AI powered associate experience for Lockton. Detailed panel. Multiple custom views. (editable information). Tams app - agent driven for people lookup. Web assistant. Data design - combining all the data. Graph API, Guthub Copilot, Copilot Studio - multi view</t>
  </si>
  <si>
    <t>Invoice use case: Vidyadharan, Raveendran, Aishwarya, Ravikumar, Ramesh, Krishanan: Business value. PowerBI report. Sharepoint list backend. Full automated workflow. ApprovalFlow - FLOW.</t>
  </si>
  <si>
    <r>
      <rPr>
        <sz val="11"/>
        <color rgb="FF000000"/>
        <rFont val="Calibri"/>
        <family val="2"/>
      </rPr>
      <t xml:space="preserve">Amaldev - IT budget forecasting. </t>
    </r>
    <r>
      <rPr>
        <b/>
        <sz val="11"/>
        <color rgb="FF000000"/>
        <rFont val="Calibri"/>
        <family val="2"/>
      </rPr>
      <t xml:space="preserve">Litty - Copilot studio - GPT5 reasoning. Proactive prompts. Sharepoint web chat. PowerBI link. AI extraction. </t>
    </r>
  </si>
  <si>
    <t xml:space="preserve">Associate Rolodex: Stephen. (Sarath, Ancy,Sajith, Sejin, Sreya). Ninjas. Teams - thought about adoption. Manager or executive level. Multi application access view - could be powerful - EMP 360. Creating a new database to create a combined view of associates. </t>
  </si>
  <si>
    <t xml:space="preserve">Associate Information Hub: Good storytelling and presentation. Peoplesoft - source of truth. Lockaboo bot. Nice visual org chart. Knowledge base, web and teams app. Email based search only. </t>
  </si>
  <si>
    <t xml:space="preserve">Reccon/; Nagaraju - Invoice reconciliation. Doc intelligence. Good understanding of business problem. Smart review from AI analysis. Very cool web app. Brian - is this a smarter accounting view? Venk, Sakthi. Document and peoplesoft billing data. </t>
  </si>
  <si>
    <t xml:space="preserve">Mohan, Arokiya, Prashant: Insurance Market intelligence: Chat input of files - sends email via outlook. Future: transcript is uploaded in Sharepoint - trigger the report generation. Extracts key focus points and then allows user to change the input before generating. </t>
  </si>
  <si>
    <t xml:space="preserve">Receptionist Lookup Modernizer: Modern web app with good UI. Send a message vs using status. Confidential note. Ahent based real time info - </t>
  </si>
  <si>
    <t xml:space="preserve">POs for Office/Facilities: Magesh - funny role play. Full featured end to end power auotmate workflow. Invoice trigger. Store invoices with extracted metadata. Powerbi data set. IT &amp; Transformation - good finish. </t>
  </si>
  <si>
    <t>Sushma: Accounting View Agent. self service accounting. Inefficiencies in invoice status. Copilot &amp; Mulesoft. Really fast response. Automated ticket creation. Good understanding of time efficiencies. Scope can be for more use cases. (Apalla, Uday...)</t>
  </si>
  <si>
    <t xml:space="preserve">B-Buddy. Smart budget forecasting: did homework to get understanding. Canvas with notes from leaders. Proactive Email alerts.  Chatbot with historical data. Trend analysis by vendor data. PowerBI. </t>
  </si>
  <si>
    <t xml:space="preserve">ACH Verification: Swaroop. Centralized ACH portal. LIA - Lockton Intgel Asst. Vendor ACH info. Workflow. Web chatbot. </t>
  </si>
  <si>
    <t>🏆 GAS 2026 HACKATHON - MOLLY BERNDT</t>
  </si>
  <si>
    <t>description: created a budget powerBI, an agent that can help forecast various stages of a budget and a vendor tracking form</t>
  </si>
  <si>
    <t>People Hub - starts with view of associates, Chatbot - to ask for details on a person. Part missed that we want to do away with associate directory</t>
  </si>
  <si>
    <t>Central invoice tracker/accelerator - great enthusiastic presentation</t>
  </si>
  <si>
    <t>IT budgeting/monitoring/forecasting - had more AI functionality ,but as a user, I was confused - less straight forward</t>
  </si>
  <si>
    <t>Associate Rolodex - the main issue is you have to know empl id and it provided access to systems vs info about the users</t>
  </si>
  <si>
    <t>Associate Information Hub - where jacob. This one had org chart and understood the problem the most</t>
  </si>
  <si>
    <t>I am not sure if the description of the project led in this direction but AV is an associate platform vs. an accounting user.</t>
  </si>
  <si>
    <t>market intelligence</t>
  </si>
  <si>
    <t>Receptionist Lookup replacement - good UI, but not sure how AI email will help.</t>
  </si>
  <si>
    <t>Purchase Order for office/facilities - the problem is solved well - had the team all talk for the cartoon.</t>
  </si>
  <si>
    <t>Accounting helpdesk questions via chatbot</t>
  </si>
  <si>
    <t xml:space="preserve">B Buddy - budget tracker </t>
  </si>
  <si>
    <t>ACH Verification automation to prevent fraud for vendor payments from IT</t>
  </si>
  <si>
    <t>🏆 GAS 2026 HACKATHON - JAMIE SHAW</t>
  </si>
  <si>
    <t>IT Budget - AI specific functionality unclear of what it provides that we don't have through Copilot today or Link (US)</t>
  </si>
  <si>
    <t>People Hub - AI functionality is dependent on people keeping GAD (or a new app?) updated with whereabouts and skills</t>
  </si>
  <si>
    <t>IT Invoice - This is an improvement to what we have today and is worth exploring more, at least the automation, which can be set up through Power Automate but assuming AI will be or could be used'</t>
  </si>
  <si>
    <t>IT Budget - This had more AI functionality (agendtic I think?) above and beyond what we have today</t>
  </si>
  <si>
    <t>Roladex - It relies on knowing EMPL ID (which is the problem) or email (you have to know) and it will tell you if they have access to a system (?)</t>
  </si>
  <si>
    <t>Roladex - innovation and capabilities felt like a lateral compared to today but UI was nicer</t>
  </si>
  <si>
    <t>Accounting View - Accounting View is not used for reconcilation so unsure of the problem being solved. It does help a problem, but not Accounting View.</t>
  </si>
  <si>
    <t>Market Intelligence - the Teams audio was inconsistent</t>
  </si>
  <si>
    <t>Receptionist - followed directions provided but felt lateral in technology from today</t>
  </si>
  <si>
    <t>Purchase Orders - unsure of the AI specific capabilties</t>
  </si>
  <si>
    <t>Accounting View - Unsure of what the use case was trying to accomplish but the solution would be good</t>
  </si>
  <si>
    <t>Budget</t>
  </si>
  <si>
    <t>ACH Verification</t>
  </si>
  <si>
    <t>🏆 ALL JUDGES SCORES SUMMARY</t>
  </si>
  <si>
    <t>Weighted scores from all 4 judges with average calculation</t>
  </si>
  <si>
    <t>Byron</t>
  </si>
  <si>
    <t>Karthik</t>
  </si>
  <si>
    <t>Molly</t>
  </si>
  <si>
    <t>Jamie</t>
  </si>
  <si>
    <t>AVERAGE</t>
  </si>
  <si>
    <t>trv</t>
  </si>
  <si>
    <t>n</t>
  </si>
  <si>
    <t>chn</t>
  </si>
  <si>
    <t>🏅 FINAL RANKINGS - TOP 3 WINNERS</t>
  </si>
  <si>
    <t>Sorted by average score (highest to lowest)</t>
  </si>
  <si>
    <t>Rank</t>
  </si>
  <si>
    <t>Avg Score</t>
  </si>
  <si>
    <t>Medal</t>
  </si>
  <si>
    <t>🥇 GOLD</t>
  </si>
  <si>
    <t>🥈 SILVER</t>
  </si>
  <si>
    <t>🥉 BRONZE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</si>
</sst>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F4E79"/>
      <name val="Cambria"/>
      <family val="1"/>
    </font>
    <font>
      <sz val="11"/>
      <name val="Cambria"/>
      <family val="1"/>
    </font>
    <font>
      <b/>
      <sz val="12"/>
      <color rgb="FF1F4E79"/>
      <name val="Cambria"/>
      <family val="1"/>
    </font>
    <font>
      <b/>
      <sz val="11"/>
      <name val="Cambria"/>
      <family val="1"/>
    </font>
    <font>
      <i/>
      <sz val="10"/>
      <color rgb="FF666666"/>
      <name val="Cambria"/>
      <family val="1"/>
    </font>
    <font>
      <b/>
      <sz val="14"/>
      <color rgb="FF1F4E79"/>
      <name val="Cambria"/>
      <family val="1"/>
    </font>
    <font>
      <b/>
      <sz val="11"/>
      <color rgb="FFFFFFFF"/>
      <name val="Cambria"/>
      <family val="1"/>
    </font>
    <font>
      <b/>
      <sz val="9"/>
      <color rgb="FF996600"/>
      <name val="Cambria"/>
      <family val="1"/>
    </font>
    <font>
      <sz val="11"/>
      <color rgb="FF242424"/>
      <name val="Aptos Narrow"/>
    </font>
    <font>
      <sz val="11"/>
      <color rgb="FF000000"/>
      <name val="Calibri"/>
      <family val="2"/>
    </font>
    <font>
      <b/>
      <sz val="11"/>
      <color rgb="FF000000"/>
      <name val="Calibri"/>
      <family val="2"/>
    </font>
    <font>
      <b/>
      <sz val="11"/>
      <name val="Cambria"/>
      <family val="1"/>
    </font>
  </fonts>
  <fills count="10">
    <fill>
      <patternFill patternType="none"/>
    </fill>
    <fill>
      <patternFill patternType="gray125"/>
    </fill>
    <fill>
      <patternFill patternType="solid">
        <fgColor rgb="FF1F4E79"/>
        <bgColor rgb="FF003366"/>
      </patternFill>
    </fill>
    <fill>
      <patternFill patternType="solid">
        <fgColor rgb="FFD6EAF8"/>
        <bgColor rgb="FFF2F2F2"/>
      </patternFill>
    </fill>
    <fill>
      <patternFill patternType="solid">
        <fgColor rgb="FFFFF2CC"/>
        <bgColor rgb="FFF2F2F2"/>
      </patternFill>
    </fill>
    <fill>
      <patternFill patternType="solid">
        <fgColor rgb="FFF2F2F2"/>
        <bgColor rgb="FFFFFFFF"/>
      </patternFill>
    </fill>
    <fill>
      <patternFill patternType="solid">
        <fgColor rgb="FFFFD700"/>
        <bgColor rgb="FFFFFF00"/>
      </patternFill>
    </fill>
    <fill>
      <patternFill patternType="solid">
        <fgColor rgb="FFC0C0C0"/>
        <bgColor rgb="FFCCCCCC"/>
      </patternFill>
    </fill>
    <fill>
      <patternFill patternType="solid">
        <fgColor rgb="FFCD7F32"/>
        <bgColor rgb="FFFF8080"/>
      </patternFill>
    </fill>
    <fill>
      <patternFill patternType="solid">
        <fgColor rgb="FFFFFF0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xf numFmtId="0" fontId="7"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left" vertical="center"/>
    </xf>
    <xf numFmtId="0" fontId="0" fillId="0" borderId="1" xfId="0" applyBorder="1" applyAlignment="1">
      <alignment horizontal="left" vertical="center" wrapText="1"/>
    </xf>
    <xf numFmtId="0" fontId="5" fillId="0" borderId="0" xfId="0" applyFont="1"/>
    <xf numFmtId="0" fontId="8" fillId="4" borderId="0" xfId="0" applyFont="1" applyFill="1" applyAlignment="1">
      <alignment horizontal="center" vertical="center" wrapText="1"/>
    </xf>
    <xf numFmtId="0" fontId="0" fillId="4" borderId="0" xfId="0" applyFill="1"/>
    <xf numFmtId="0" fontId="7" fillId="2" borderId="2"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4" fillId="3" borderId="2" xfId="0" applyFont="1" applyFill="1" applyBorder="1" applyAlignment="1">
      <alignment horizontal="center" vertical="center" wrapText="1"/>
    </xf>
    <xf numFmtId="0" fontId="0" fillId="5" borderId="2" xfId="0" applyFill="1" applyBorder="1" applyAlignment="1">
      <alignment horizontal="left" vertical="center" wrapText="1"/>
    </xf>
    <xf numFmtId="0" fontId="0" fillId="5" borderId="2" xfId="0" applyFill="1" applyBorder="1" applyAlignment="1">
      <alignment horizontal="center" vertical="center" wrapText="1"/>
    </xf>
    <xf numFmtId="2" fontId="0" fillId="0" borderId="2" xfId="0" applyNumberFormat="1" applyBorder="1" applyAlignment="1">
      <alignment horizontal="center" vertical="center" wrapText="1"/>
    </xf>
    <xf numFmtId="2" fontId="4" fillId="3" borderId="2" xfId="0" applyNumberFormat="1"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0" fillId="0" borderId="2" xfId="0" applyBorder="1" applyAlignment="1">
      <alignment horizontal="left" vertical="center"/>
    </xf>
    <xf numFmtId="0" fontId="9" fillId="0" borderId="0" xfId="0" applyFont="1"/>
    <xf numFmtId="0" fontId="10" fillId="0" borderId="2" xfId="0" applyFont="1" applyBorder="1" applyAlignment="1">
      <alignment horizontal="left" vertical="center" wrapText="1"/>
    </xf>
    <xf numFmtId="0" fontId="0" fillId="9" borderId="0" xfId="0" applyFill="1"/>
    <xf numFmtId="0" fontId="12" fillId="0" borderId="2"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96600"/>
      <rgbColor rgb="FF800080"/>
      <rgbColor rgb="FF008080"/>
      <rgbColor rgb="FFC0C0C0"/>
      <rgbColor rgb="FF808080"/>
      <rgbColor rgb="FF9999FF"/>
      <rgbColor rgb="FF993366"/>
      <rgbColor rgb="FFFFF2CC"/>
      <rgbColor rgb="FFD6EAF8"/>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D700"/>
      <rgbColor rgb="FFFF9900"/>
      <rgbColor rgb="FFCD7F32"/>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2"/>
  <sheetViews>
    <sheetView showGridLines="0" zoomScale="130" zoomScaleNormal="130" workbookViewId="0">
      <selection activeCell="C41" sqref="C41"/>
    </sheetView>
  </sheetViews>
  <sheetFormatPr baseColWidth="10" defaultColWidth="8.6640625" defaultRowHeight="15" x14ac:dyDescent="0.2"/>
  <cols>
    <col min="1" max="1" width="75" customWidth="1"/>
    <col min="2" max="2" width="22" customWidth="1"/>
    <col min="3" max="3" width="60" customWidth="1"/>
  </cols>
  <sheetData>
    <row r="1" spans="1:1" ht="19.5" customHeight="1" x14ac:dyDescent="0.2">
      <c r="A1" s="1" t="s">
        <v>0</v>
      </c>
    </row>
    <row r="2" spans="1:1" ht="15" customHeight="1" x14ac:dyDescent="0.2">
      <c r="A2" s="2"/>
    </row>
    <row r="3" spans="1:1" ht="15" customHeight="1" x14ac:dyDescent="0.2">
      <c r="A3" s="3" t="s">
        <v>1</v>
      </c>
    </row>
    <row r="4" spans="1:1" ht="15" customHeight="1" x14ac:dyDescent="0.2">
      <c r="A4" s="2"/>
    </row>
    <row r="5" spans="1:1" ht="15" customHeight="1" x14ac:dyDescent="0.2">
      <c r="A5" s="4" t="s">
        <v>2</v>
      </c>
    </row>
    <row r="6" spans="1:1" ht="15" customHeight="1" x14ac:dyDescent="0.2">
      <c r="A6" s="2" t="s">
        <v>3</v>
      </c>
    </row>
    <row r="7" spans="1:1" ht="15" customHeight="1" x14ac:dyDescent="0.2">
      <c r="A7" s="2" t="s">
        <v>4</v>
      </c>
    </row>
    <row r="8" spans="1:1" ht="15" customHeight="1" x14ac:dyDescent="0.2">
      <c r="A8" s="2" t="s">
        <v>5</v>
      </c>
    </row>
    <row r="9" spans="1:1" ht="15" customHeight="1" x14ac:dyDescent="0.2">
      <c r="A9" s="2" t="s">
        <v>6</v>
      </c>
    </row>
    <row r="10" spans="1:1" ht="15" customHeight="1" x14ac:dyDescent="0.2">
      <c r="A10" s="2"/>
    </row>
    <row r="11" spans="1:1" ht="15" customHeight="1" x14ac:dyDescent="0.2">
      <c r="A11" s="4" t="s">
        <v>7</v>
      </c>
    </row>
    <row r="12" spans="1:1" ht="15" customHeight="1" x14ac:dyDescent="0.2">
      <c r="A12" s="2" t="s">
        <v>8</v>
      </c>
    </row>
    <row r="13" spans="1:1" ht="15" customHeight="1" x14ac:dyDescent="0.2">
      <c r="A13" s="2" t="s">
        <v>9</v>
      </c>
    </row>
    <row r="14" spans="1:1" ht="15" customHeight="1" x14ac:dyDescent="0.2">
      <c r="A14" s="2" t="s">
        <v>10</v>
      </c>
    </row>
    <row r="15" spans="1:1" ht="15" customHeight="1" x14ac:dyDescent="0.2">
      <c r="A15" s="2" t="s">
        <v>11</v>
      </c>
    </row>
    <row r="16" spans="1:1" ht="15" customHeight="1" x14ac:dyDescent="0.2">
      <c r="A16" s="2" t="s">
        <v>12</v>
      </c>
    </row>
    <row r="17" spans="1:1" ht="15" customHeight="1" x14ac:dyDescent="0.2">
      <c r="A17" s="4"/>
    </row>
    <row r="18" spans="1:1" ht="15" customHeight="1" x14ac:dyDescent="0.2">
      <c r="A18" s="4" t="s">
        <v>13</v>
      </c>
    </row>
    <row r="19" spans="1:1" ht="15" customHeight="1" x14ac:dyDescent="0.2">
      <c r="A19" s="2" t="s">
        <v>14</v>
      </c>
    </row>
    <row r="20" spans="1:1" ht="15" customHeight="1" x14ac:dyDescent="0.2">
      <c r="A20" s="2" t="s">
        <v>15</v>
      </c>
    </row>
    <row r="21" spans="1:1" ht="15" customHeight="1" x14ac:dyDescent="0.2">
      <c r="A21" s="4"/>
    </row>
    <row r="22" spans="1:1" ht="15" customHeight="1" x14ac:dyDescent="0.2">
      <c r="A22" s="4" t="s">
        <v>16</v>
      </c>
    </row>
    <row r="23" spans="1:1" ht="15" customHeight="1" x14ac:dyDescent="0.2">
      <c r="A23" s="2" t="s">
        <v>17</v>
      </c>
    </row>
    <row r="24" spans="1:1" ht="15" customHeight="1" x14ac:dyDescent="0.2">
      <c r="A24" s="2" t="s">
        <v>18</v>
      </c>
    </row>
    <row r="25" spans="1:1" ht="15" customHeight="1" x14ac:dyDescent="0.2">
      <c r="A25" s="4"/>
    </row>
    <row r="26" spans="1:1" ht="15" customHeight="1" x14ac:dyDescent="0.2">
      <c r="A26" s="4" t="s">
        <v>19</v>
      </c>
    </row>
    <row r="27" spans="1:1" ht="15" customHeight="1" x14ac:dyDescent="0.2">
      <c r="A27" s="2" t="s">
        <v>20</v>
      </c>
    </row>
    <row r="28" spans="1:1" ht="15" customHeight="1" x14ac:dyDescent="0.2">
      <c r="A28" s="2" t="s">
        <v>21</v>
      </c>
    </row>
    <row r="29" spans="1:1" ht="15" customHeight="1" x14ac:dyDescent="0.2">
      <c r="A29" s="3"/>
    </row>
    <row r="30" spans="1:1" ht="15" customHeight="1" x14ac:dyDescent="0.2">
      <c r="A30" s="3" t="s">
        <v>22</v>
      </c>
    </row>
    <row r="31" spans="1:1" ht="15" customHeight="1" x14ac:dyDescent="0.2">
      <c r="A31" s="2" t="s">
        <v>23</v>
      </c>
    </row>
    <row r="32" spans="1:1" ht="15" customHeight="1" x14ac:dyDescent="0.2">
      <c r="A32" s="2" t="s">
        <v>24</v>
      </c>
    </row>
    <row r="33" spans="1:3" ht="15" customHeight="1" x14ac:dyDescent="0.2">
      <c r="A33" s="2" t="s">
        <v>25</v>
      </c>
    </row>
    <row r="34" spans="1:3" ht="15" customHeight="1" x14ac:dyDescent="0.2">
      <c r="A34" s="2" t="s">
        <v>26</v>
      </c>
    </row>
    <row r="35" spans="1:3" ht="15" customHeight="1" x14ac:dyDescent="0.2">
      <c r="A35" s="2" t="s">
        <v>27</v>
      </c>
    </row>
    <row r="36" spans="1:3" ht="15" customHeight="1" x14ac:dyDescent="0.2">
      <c r="A36" s="3"/>
    </row>
    <row r="37" spans="1:3" ht="15" customHeight="1" x14ac:dyDescent="0.2">
      <c r="A37" s="5" t="s">
        <v>28</v>
      </c>
    </row>
    <row r="38" spans="1:3" ht="15" customHeight="1" x14ac:dyDescent="0.2">
      <c r="A38" s="2"/>
    </row>
    <row r="39" spans="1:3" ht="15" customHeight="1" x14ac:dyDescent="0.2">
      <c r="A39" s="2"/>
    </row>
    <row r="40" spans="1:3" ht="15" customHeight="1" x14ac:dyDescent="0.2">
      <c r="A40" s="2"/>
    </row>
    <row r="43" spans="1:3" ht="17.25" customHeight="1" x14ac:dyDescent="0.2">
      <c r="A43" s="6"/>
    </row>
    <row r="45" spans="1:3" ht="15" customHeight="1" x14ac:dyDescent="0.2">
      <c r="A45" s="7"/>
      <c r="B45" s="7"/>
      <c r="C45" s="7"/>
    </row>
    <row r="46" spans="1:3" ht="15" customHeight="1" x14ac:dyDescent="0.2">
      <c r="A46" s="8"/>
      <c r="B46" s="9"/>
      <c r="C46" s="10"/>
    </row>
    <row r="47" spans="1:3" ht="15" customHeight="1" x14ac:dyDescent="0.2">
      <c r="A47" s="8"/>
      <c r="B47" s="9"/>
      <c r="C47" s="10"/>
    </row>
    <row r="48" spans="1:3" ht="15" customHeight="1" x14ac:dyDescent="0.2">
      <c r="A48" s="8"/>
      <c r="B48" s="9"/>
      <c r="C48" s="10"/>
    </row>
    <row r="49" spans="1:3" ht="15" customHeight="1" x14ac:dyDescent="0.2">
      <c r="A49" s="8"/>
      <c r="B49" s="9"/>
      <c r="C49" s="10"/>
    </row>
    <row r="50" spans="1:3" ht="15" customHeight="1" x14ac:dyDescent="0.2">
      <c r="A50" s="8"/>
      <c r="B50" s="9"/>
      <c r="C50" s="10"/>
    </row>
    <row r="52" spans="1:3" ht="15" customHeight="1" x14ac:dyDescent="0.2">
      <c r="A52" s="11"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tabSelected="1" zoomScaleNormal="100" workbookViewId="0">
      <pane xSplit="2" ySplit="4" topLeftCell="C5" activePane="bottomRight" state="frozen"/>
      <selection pane="topRight" activeCell="C1" sqref="C1"/>
      <selection pane="bottomLeft" activeCell="A5" sqref="A5"/>
      <selection pane="bottomRight" activeCell="A6" sqref="A6"/>
    </sheetView>
  </sheetViews>
  <sheetFormatPr baseColWidth="10" defaultColWidth="8.6640625" defaultRowHeight="15" x14ac:dyDescent="0.2"/>
  <cols>
    <col min="1" max="1" width="12.5" customWidth="1"/>
    <col min="2" max="2" width="28.5" customWidth="1"/>
    <col min="3" max="3" width="12" customWidth="1"/>
    <col min="4" max="5" width="13" customWidth="1"/>
    <col min="6" max="6" width="12" customWidth="1"/>
    <col min="7" max="8" width="14" customWidth="1"/>
    <col min="9" max="9" width="40" customWidth="1"/>
  </cols>
  <sheetData>
    <row r="1" spans="1:10" ht="24.75" customHeight="1" x14ac:dyDescent="0.2">
      <c r="A1" s="31" t="s">
        <v>29</v>
      </c>
      <c r="B1" s="31"/>
      <c r="C1" s="31"/>
      <c r="D1" s="31"/>
      <c r="E1" s="31"/>
      <c r="F1" s="31"/>
      <c r="G1" s="31"/>
      <c r="H1" s="31"/>
      <c r="I1" s="31"/>
      <c r="J1" s="31"/>
    </row>
    <row r="2" spans="1:10" ht="15" customHeight="1" x14ac:dyDescent="0.2">
      <c r="A2" s="32" t="s">
        <v>30</v>
      </c>
      <c r="B2" s="32"/>
      <c r="C2" s="32"/>
      <c r="D2" s="32"/>
      <c r="E2" s="32"/>
      <c r="F2" s="32"/>
      <c r="G2" s="32"/>
      <c r="H2" s="32"/>
      <c r="I2" s="32"/>
      <c r="J2" s="32"/>
    </row>
    <row r="3" spans="1:10" ht="42.75" customHeight="1" x14ac:dyDescent="0.2">
      <c r="A3" s="12" t="s">
        <v>31</v>
      </c>
      <c r="B3" s="13"/>
      <c r="C3" s="12" t="s">
        <v>32</v>
      </c>
      <c r="D3" s="12" t="s">
        <v>33</v>
      </c>
      <c r="E3" s="12" t="s">
        <v>34</v>
      </c>
      <c r="F3" s="12" t="s">
        <v>33</v>
      </c>
      <c r="G3" s="12" t="s">
        <v>32</v>
      </c>
      <c r="H3" s="13"/>
      <c r="I3" s="13"/>
    </row>
    <row r="4" spans="1:10" ht="34.5" customHeight="1" x14ac:dyDescent="0.2">
      <c r="A4" s="14" t="s">
        <v>35</v>
      </c>
      <c r="B4" s="14" t="s">
        <v>36</v>
      </c>
      <c r="C4" s="14" t="s">
        <v>37</v>
      </c>
      <c r="D4" s="14" t="s">
        <v>38</v>
      </c>
      <c r="E4" s="14" t="s">
        <v>39</v>
      </c>
      <c r="F4" s="14" t="s">
        <v>40</v>
      </c>
      <c r="G4" s="14" t="s">
        <v>41</v>
      </c>
      <c r="H4" s="14" t="s">
        <v>42</v>
      </c>
      <c r="I4" s="14" t="s">
        <v>43</v>
      </c>
    </row>
    <row r="5" spans="1:10" ht="15" customHeight="1" x14ac:dyDescent="0.2">
      <c r="A5" s="15">
        <v>1</v>
      </c>
      <c r="B5" s="16" t="s">
        <v>44</v>
      </c>
      <c r="C5" s="15">
        <v>9</v>
      </c>
      <c r="D5" s="15">
        <v>5</v>
      </c>
      <c r="E5" s="15">
        <v>5</v>
      </c>
      <c r="F5" s="15">
        <v>6</v>
      </c>
      <c r="G5" s="15">
        <v>5</v>
      </c>
      <c r="H5" s="17">
        <f t="shared" ref="H5:H17" si="0">IF(COUNTA(C5:G5)=5,(0.1*C5+0.25*D5+0.3*E5+0.25*F5+0.1*G5),"")</f>
        <v>5.65</v>
      </c>
      <c r="I5" s="16"/>
    </row>
    <row r="6" spans="1:10" ht="15.75" customHeight="1" x14ac:dyDescent="0.2">
      <c r="A6" s="15">
        <v>2</v>
      </c>
      <c r="B6" s="18" t="s">
        <v>45</v>
      </c>
      <c r="C6" s="19">
        <v>9</v>
      </c>
      <c r="D6" s="19">
        <v>5</v>
      </c>
      <c r="E6" s="19">
        <v>5</v>
      </c>
      <c r="F6" s="19">
        <v>6</v>
      </c>
      <c r="G6" s="19">
        <v>6</v>
      </c>
      <c r="H6" s="17">
        <f t="shared" si="0"/>
        <v>5.75</v>
      </c>
      <c r="I6" s="16" t="s">
        <v>46</v>
      </c>
    </row>
    <row r="7" spans="1:10" ht="15" customHeight="1" x14ac:dyDescent="0.2">
      <c r="A7" s="15">
        <v>3</v>
      </c>
      <c r="B7" s="16" t="s">
        <v>47</v>
      </c>
      <c r="C7" s="19">
        <v>9</v>
      </c>
      <c r="D7" s="15">
        <v>7</v>
      </c>
      <c r="E7" s="15">
        <v>6</v>
      </c>
      <c r="F7" s="15">
        <v>7</v>
      </c>
      <c r="G7" s="15">
        <v>6</v>
      </c>
      <c r="H7" s="17">
        <f t="shared" si="0"/>
        <v>6.7999999999999989</v>
      </c>
      <c r="I7" s="16"/>
    </row>
    <row r="8" spans="1:10" ht="15" customHeight="1" x14ac:dyDescent="0.2">
      <c r="A8" s="15">
        <v>4</v>
      </c>
      <c r="B8" s="18" t="s">
        <v>48</v>
      </c>
      <c r="C8" s="19">
        <v>9</v>
      </c>
      <c r="D8" s="19">
        <v>6</v>
      </c>
      <c r="E8" s="19">
        <v>7</v>
      </c>
      <c r="F8" s="19">
        <v>6</v>
      </c>
      <c r="G8" s="19">
        <v>5</v>
      </c>
      <c r="H8" s="17">
        <f t="shared" si="0"/>
        <v>6.5</v>
      </c>
      <c r="I8" s="16"/>
    </row>
    <row r="9" spans="1:10" ht="15" customHeight="1" x14ac:dyDescent="0.2">
      <c r="A9" s="15">
        <v>5</v>
      </c>
      <c r="B9" s="16" t="s">
        <v>49</v>
      </c>
      <c r="C9" s="19">
        <v>9</v>
      </c>
      <c r="D9" s="15">
        <v>5</v>
      </c>
      <c r="E9" s="15">
        <v>6</v>
      </c>
      <c r="F9" s="15">
        <v>6</v>
      </c>
      <c r="G9" s="15">
        <v>6</v>
      </c>
      <c r="H9" s="17">
        <f t="shared" si="0"/>
        <v>6.0499999999999989</v>
      </c>
      <c r="I9" s="16" t="s">
        <v>50</v>
      </c>
    </row>
    <row r="10" spans="1:10" ht="15" customHeight="1" x14ac:dyDescent="0.2">
      <c r="A10" s="15">
        <v>6</v>
      </c>
      <c r="B10" s="18" t="s">
        <v>51</v>
      </c>
      <c r="C10" s="19">
        <v>9</v>
      </c>
      <c r="D10" s="19">
        <v>6</v>
      </c>
      <c r="E10" s="19">
        <v>7</v>
      </c>
      <c r="F10" s="19">
        <v>7</v>
      </c>
      <c r="G10" s="19">
        <v>6</v>
      </c>
      <c r="H10" s="17">
        <f t="shared" si="0"/>
        <v>6.85</v>
      </c>
      <c r="I10" s="16" t="s">
        <v>52</v>
      </c>
    </row>
    <row r="11" spans="1:10" ht="15" customHeight="1" x14ac:dyDescent="0.2">
      <c r="A11" s="15">
        <v>7</v>
      </c>
      <c r="B11" s="16" t="s">
        <v>53</v>
      </c>
      <c r="C11" s="19">
        <v>9</v>
      </c>
      <c r="D11" s="15">
        <v>6</v>
      </c>
      <c r="E11" s="15">
        <v>7</v>
      </c>
      <c r="F11" s="15">
        <v>7</v>
      </c>
      <c r="G11" s="15">
        <v>7</v>
      </c>
      <c r="H11" s="17">
        <f t="shared" si="0"/>
        <v>6.95</v>
      </c>
      <c r="I11" s="16" t="s">
        <v>54</v>
      </c>
    </row>
    <row r="12" spans="1:10" ht="15" customHeight="1" x14ac:dyDescent="0.2">
      <c r="A12" s="15">
        <v>8</v>
      </c>
      <c r="B12" s="18" t="s">
        <v>55</v>
      </c>
      <c r="C12" s="19">
        <v>9</v>
      </c>
      <c r="D12" s="19">
        <v>7</v>
      </c>
      <c r="E12" s="19">
        <v>6</v>
      </c>
      <c r="F12" s="19">
        <v>7</v>
      </c>
      <c r="G12" s="19">
        <v>5</v>
      </c>
      <c r="H12" s="17">
        <f t="shared" si="0"/>
        <v>6.6999999999999993</v>
      </c>
      <c r="I12" s="16" t="s">
        <v>56</v>
      </c>
    </row>
    <row r="13" spans="1:10" ht="15" customHeight="1" x14ac:dyDescent="0.2">
      <c r="A13" s="15">
        <v>9</v>
      </c>
      <c r="B13" s="16" t="s">
        <v>57</v>
      </c>
      <c r="C13" s="19">
        <v>9</v>
      </c>
      <c r="D13" s="15">
        <v>7</v>
      </c>
      <c r="E13" s="15">
        <v>6</v>
      </c>
      <c r="F13" s="15">
        <v>7</v>
      </c>
      <c r="G13" s="15">
        <v>6</v>
      </c>
      <c r="H13" s="17">
        <f t="shared" si="0"/>
        <v>6.7999999999999989</v>
      </c>
      <c r="I13" s="16"/>
    </row>
    <row r="14" spans="1:10" ht="15" customHeight="1" x14ac:dyDescent="0.2">
      <c r="A14" s="15">
        <v>10</v>
      </c>
      <c r="B14" s="18" t="s">
        <v>58</v>
      </c>
      <c r="C14" s="19">
        <v>9</v>
      </c>
      <c r="D14" s="19">
        <v>6</v>
      </c>
      <c r="E14" s="19">
        <v>7</v>
      </c>
      <c r="F14" s="19">
        <v>7</v>
      </c>
      <c r="G14" s="19">
        <v>7</v>
      </c>
      <c r="H14" s="17">
        <f t="shared" si="0"/>
        <v>6.95</v>
      </c>
      <c r="I14" s="16" t="s">
        <v>59</v>
      </c>
    </row>
    <row r="15" spans="1:10" ht="15" customHeight="1" x14ac:dyDescent="0.2">
      <c r="A15" s="15">
        <v>11</v>
      </c>
      <c r="B15" s="16" t="s">
        <v>60</v>
      </c>
      <c r="C15" s="19">
        <v>9</v>
      </c>
      <c r="D15" s="15">
        <v>6</v>
      </c>
      <c r="E15" s="15">
        <v>7</v>
      </c>
      <c r="F15" s="15">
        <v>8</v>
      </c>
      <c r="G15" s="15">
        <v>8</v>
      </c>
      <c r="H15" s="17">
        <f t="shared" si="0"/>
        <v>7.3</v>
      </c>
      <c r="I15" s="16"/>
    </row>
    <row r="16" spans="1:10" ht="15" customHeight="1" x14ac:dyDescent="0.2">
      <c r="A16" s="15">
        <v>12</v>
      </c>
      <c r="B16" s="18" t="s">
        <v>61</v>
      </c>
      <c r="C16" s="19">
        <v>9</v>
      </c>
      <c r="D16" s="19">
        <v>6</v>
      </c>
      <c r="E16" s="19">
        <v>7</v>
      </c>
      <c r="F16" s="19">
        <v>7</v>
      </c>
      <c r="G16" s="19">
        <v>7</v>
      </c>
      <c r="H16" s="17">
        <f t="shared" si="0"/>
        <v>6.95</v>
      </c>
      <c r="I16" s="16" t="s">
        <v>62</v>
      </c>
    </row>
    <row r="17" spans="1:9" ht="15" customHeight="1" x14ac:dyDescent="0.2">
      <c r="A17" s="15">
        <v>13</v>
      </c>
      <c r="B17" s="16" t="s">
        <v>63</v>
      </c>
      <c r="C17" s="19">
        <v>9</v>
      </c>
      <c r="D17" s="15">
        <v>6</v>
      </c>
      <c r="E17" s="15">
        <v>6</v>
      </c>
      <c r="F17" s="15">
        <v>6</v>
      </c>
      <c r="G17" s="15">
        <v>7</v>
      </c>
      <c r="H17" s="17">
        <f t="shared" si="0"/>
        <v>6.3999999999999995</v>
      </c>
      <c r="I17" s="16"/>
    </row>
  </sheetData>
  <mergeCells count="2">
    <mergeCell ref="A1:J1"/>
    <mergeCell ref="A2:J2"/>
  </mergeCells>
  <dataValidations count="1">
    <dataValidation type="whole" errorTitle="Invalid Score" error="Please enter a score between 1 and 10" sqref="C5:G17" xr:uid="{00000000-0002-0000-0100-000000000000}">
      <formula1>1</formula1>
      <formula2>10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
  <sheetViews>
    <sheetView zoomScaleNormal="100" workbookViewId="0">
      <pane xSplit="2" ySplit="4" topLeftCell="C5" activePane="bottomRight" state="frozen"/>
      <selection pane="topRight" activeCell="C1" sqref="C1"/>
      <selection pane="bottomLeft" activeCell="A5" sqref="A5"/>
      <selection pane="bottomRight" activeCell="I16" sqref="I16"/>
    </sheetView>
  </sheetViews>
  <sheetFormatPr baseColWidth="10" defaultColWidth="8.6640625" defaultRowHeight="15" x14ac:dyDescent="0.2"/>
  <cols>
    <col min="1" max="1" width="16.6640625" customWidth="1"/>
    <col min="2" max="2" width="30.1640625" customWidth="1"/>
    <col min="3" max="3" width="12" customWidth="1"/>
    <col min="4" max="5" width="13" customWidth="1"/>
    <col min="6" max="6" width="12" customWidth="1"/>
    <col min="7" max="8" width="14" customWidth="1"/>
    <col min="9" max="9" width="115.33203125" customWidth="1"/>
  </cols>
  <sheetData>
    <row r="1" spans="1:10" ht="24.75" customHeight="1" x14ac:dyDescent="0.2">
      <c r="A1" s="31" t="s">
        <v>64</v>
      </c>
      <c r="B1" s="31"/>
      <c r="C1" s="31"/>
      <c r="D1" s="31"/>
      <c r="E1" s="31"/>
      <c r="F1" s="31"/>
      <c r="G1" s="31"/>
      <c r="H1" s="31"/>
      <c r="I1" s="31"/>
      <c r="J1" s="31"/>
    </row>
    <row r="2" spans="1:10" ht="15" customHeight="1" x14ac:dyDescent="0.2">
      <c r="A2" s="32" t="s">
        <v>30</v>
      </c>
      <c r="B2" s="32"/>
      <c r="C2" s="32"/>
      <c r="D2" s="32"/>
      <c r="E2" s="32"/>
      <c r="F2" s="32"/>
      <c r="G2" s="32"/>
      <c r="H2" s="32"/>
      <c r="I2" s="32"/>
      <c r="J2" s="32"/>
    </row>
    <row r="3" spans="1:10" ht="42.75" customHeight="1" x14ac:dyDescent="0.2">
      <c r="A3" s="12" t="s">
        <v>31</v>
      </c>
      <c r="B3" s="13"/>
      <c r="C3" s="12" t="s">
        <v>32</v>
      </c>
      <c r="D3" s="12" t="s">
        <v>33</v>
      </c>
      <c r="E3" s="12" t="s">
        <v>34</v>
      </c>
      <c r="F3" s="12" t="s">
        <v>33</v>
      </c>
      <c r="G3" s="12" t="s">
        <v>32</v>
      </c>
      <c r="H3" s="13"/>
      <c r="I3" s="13"/>
    </row>
    <row r="4" spans="1:10" ht="34.5" customHeight="1" x14ac:dyDescent="0.2">
      <c r="A4" s="14" t="s">
        <v>35</v>
      </c>
      <c r="B4" s="14" t="s">
        <v>36</v>
      </c>
      <c r="C4" s="14" t="s">
        <v>37</v>
      </c>
      <c r="D4" s="14" t="s">
        <v>38</v>
      </c>
      <c r="E4" s="14" t="s">
        <v>39</v>
      </c>
      <c r="F4" s="14" t="s">
        <v>40</v>
      </c>
      <c r="G4" s="14" t="s">
        <v>41</v>
      </c>
      <c r="H4" s="14" t="s">
        <v>42</v>
      </c>
      <c r="I4" s="14" t="s">
        <v>43</v>
      </c>
    </row>
    <row r="5" spans="1:10" ht="15" customHeight="1" x14ac:dyDescent="0.2">
      <c r="A5" s="15">
        <v>1</v>
      </c>
      <c r="B5" s="16" t="s">
        <v>44</v>
      </c>
      <c r="C5" s="15">
        <v>6</v>
      </c>
      <c r="D5" s="15">
        <v>7</v>
      </c>
      <c r="E5" s="15">
        <v>7</v>
      </c>
      <c r="F5" s="15">
        <v>8</v>
      </c>
      <c r="G5" s="15">
        <v>8</v>
      </c>
      <c r="H5" s="17">
        <f t="shared" ref="H5:H17" si="0">IF(COUNTA(C5:G5)=5,(0.1*C5+0.25*D5+0.3*E5+0.25*F5+0.1*G5),"")</f>
        <v>7.25</v>
      </c>
      <c r="I5" s="16" t="s">
        <v>65</v>
      </c>
    </row>
    <row r="6" spans="1:10" ht="15" customHeight="1" x14ac:dyDescent="0.2">
      <c r="A6" s="15">
        <v>2</v>
      </c>
      <c r="B6" s="18" t="s">
        <v>45</v>
      </c>
      <c r="C6" s="19">
        <v>6</v>
      </c>
      <c r="D6" s="19">
        <v>6</v>
      </c>
      <c r="E6" s="19">
        <v>9</v>
      </c>
      <c r="F6" s="19">
        <v>8</v>
      </c>
      <c r="G6" s="19">
        <v>9</v>
      </c>
      <c r="H6" s="17">
        <f t="shared" si="0"/>
        <v>7.7</v>
      </c>
      <c r="I6" s="16" t="s">
        <v>66</v>
      </c>
    </row>
    <row r="7" spans="1:10" ht="30.75" customHeight="1" x14ac:dyDescent="0.2">
      <c r="A7" s="15">
        <v>3</v>
      </c>
      <c r="B7" s="16" t="s">
        <v>47</v>
      </c>
      <c r="C7" s="15">
        <v>6</v>
      </c>
      <c r="D7" s="15">
        <v>7</v>
      </c>
      <c r="E7" s="15">
        <v>7</v>
      </c>
      <c r="F7" s="15">
        <v>8</v>
      </c>
      <c r="G7" s="15">
        <v>8</v>
      </c>
      <c r="H7" s="17">
        <f t="shared" si="0"/>
        <v>7.25</v>
      </c>
      <c r="I7" s="27" t="s">
        <v>67</v>
      </c>
    </row>
    <row r="8" spans="1:10" ht="41.25" customHeight="1" x14ac:dyDescent="0.2">
      <c r="A8" s="15">
        <v>4</v>
      </c>
      <c r="B8" s="18" t="s">
        <v>48</v>
      </c>
      <c r="C8" s="19">
        <v>6</v>
      </c>
      <c r="D8" s="19">
        <v>7</v>
      </c>
      <c r="E8" s="19">
        <v>7</v>
      </c>
      <c r="F8" s="19">
        <v>8</v>
      </c>
      <c r="G8" s="19">
        <v>10</v>
      </c>
      <c r="H8" s="17">
        <f t="shared" si="0"/>
        <v>7.45</v>
      </c>
      <c r="I8" s="28" t="s">
        <v>68</v>
      </c>
    </row>
    <row r="9" spans="1:10" ht="30" customHeight="1" x14ac:dyDescent="0.2">
      <c r="A9" s="15">
        <v>5</v>
      </c>
      <c r="B9" s="16" t="s">
        <v>49</v>
      </c>
      <c r="C9" s="15">
        <v>7</v>
      </c>
      <c r="D9" s="15">
        <v>6</v>
      </c>
      <c r="E9" s="15">
        <v>6</v>
      </c>
      <c r="F9" s="15">
        <v>6</v>
      </c>
      <c r="G9" s="15">
        <v>8</v>
      </c>
      <c r="H9" s="17">
        <f t="shared" si="0"/>
        <v>6.3</v>
      </c>
      <c r="I9" s="16" t="s">
        <v>69</v>
      </c>
    </row>
    <row r="10" spans="1:10" ht="32.25" customHeight="1" x14ac:dyDescent="0.2">
      <c r="A10" s="15">
        <v>6</v>
      </c>
      <c r="B10" s="18" t="s">
        <v>51</v>
      </c>
      <c r="C10" s="19">
        <v>6</v>
      </c>
      <c r="D10" s="19">
        <v>7</v>
      </c>
      <c r="E10" s="19">
        <v>7</v>
      </c>
      <c r="F10" s="19">
        <v>7</v>
      </c>
      <c r="G10" s="19">
        <v>10</v>
      </c>
      <c r="H10" s="17">
        <f t="shared" si="0"/>
        <v>7.2</v>
      </c>
      <c r="I10" s="16" t="s">
        <v>70</v>
      </c>
    </row>
    <row r="11" spans="1:10" ht="33.75" customHeight="1" x14ac:dyDescent="0.2">
      <c r="A11" s="15">
        <v>7</v>
      </c>
      <c r="B11" s="16" t="s">
        <v>53</v>
      </c>
      <c r="C11" s="15">
        <v>8</v>
      </c>
      <c r="D11" s="15">
        <v>7</v>
      </c>
      <c r="E11" s="15">
        <v>9</v>
      </c>
      <c r="F11" s="15">
        <v>8</v>
      </c>
      <c r="G11" s="15">
        <v>9</v>
      </c>
      <c r="H11" s="17">
        <f t="shared" si="0"/>
        <v>8.15</v>
      </c>
      <c r="I11" s="16" t="s">
        <v>71</v>
      </c>
    </row>
    <row r="12" spans="1:10" ht="35.25" customHeight="1" x14ac:dyDescent="0.2">
      <c r="A12" s="15">
        <v>8</v>
      </c>
      <c r="B12" s="18" t="s">
        <v>55</v>
      </c>
      <c r="C12" s="19">
        <v>6</v>
      </c>
      <c r="D12" s="19">
        <v>7</v>
      </c>
      <c r="E12" s="19">
        <v>8</v>
      </c>
      <c r="F12" s="19">
        <v>8</v>
      </c>
      <c r="G12" s="19">
        <v>7</v>
      </c>
      <c r="H12" s="17">
        <f t="shared" si="0"/>
        <v>7.45</v>
      </c>
      <c r="I12" t="s">
        <v>72</v>
      </c>
    </row>
    <row r="13" spans="1:10" ht="45.75" customHeight="1" x14ac:dyDescent="0.2">
      <c r="A13" s="15">
        <v>9</v>
      </c>
      <c r="B13" s="16" t="s">
        <v>57</v>
      </c>
      <c r="C13" s="15">
        <v>6</v>
      </c>
      <c r="D13" s="15">
        <v>6</v>
      </c>
      <c r="E13" s="15">
        <v>7</v>
      </c>
      <c r="F13" s="15">
        <v>7</v>
      </c>
      <c r="G13" s="15">
        <v>7</v>
      </c>
      <c r="H13" s="17">
        <f t="shared" si="0"/>
        <v>6.65</v>
      </c>
      <c r="I13" s="16" t="s">
        <v>73</v>
      </c>
    </row>
    <row r="14" spans="1:10" ht="26.25" customHeight="1" x14ac:dyDescent="0.2">
      <c r="A14" s="15">
        <v>10</v>
      </c>
      <c r="B14" s="18" t="s">
        <v>58</v>
      </c>
      <c r="C14" s="19">
        <v>6</v>
      </c>
      <c r="D14" s="19">
        <v>6</v>
      </c>
      <c r="E14" s="19">
        <v>8</v>
      </c>
      <c r="F14" s="19">
        <v>7</v>
      </c>
      <c r="G14" s="19">
        <v>6</v>
      </c>
      <c r="H14" s="17">
        <f t="shared" si="0"/>
        <v>6.85</v>
      </c>
      <c r="I14" s="16" t="s">
        <v>74</v>
      </c>
    </row>
    <row r="15" spans="1:10" ht="31.5" customHeight="1" x14ac:dyDescent="0.2">
      <c r="A15" s="15">
        <v>11</v>
      </c>
      <c r="B15" s="16" t="s">
        <v>60</v>
      </c>
      <c r="C15" s="15">
        <v>7</v>
      </c>
      <c r="D15" s="15">
        <v>7</v>
      </c>
      <c r="E15" s="15">
        <v>8</v>
      </c>
      <c r="F15" s="15">
        <v>8</v>
      </c>
      <c r="G15" s="15">
        <v>7</v>
      </c>
      <c r="H15" s="17">
        <f t="shared" si="0"/>
        <v>7.55</v>
      </c>
      <c r="I15" s="16" t="s">
        <v>75</v>
      </c>
    </row>
    <row r="16" spans="1:10" ht="40.5" customHeight="1" x14ac:dyDescent="0.2">
      <c r="A16" s="15">
        <v>12</v>
      </c>
      <c r="B16" s="18" t="s">
        <v>61</v>
      </c>
      <c r="C16" s="19">
        <v>6</v>
      </c>
      <c r="D16" s="19">
        <v>7</v>
      </c>
      <c r="E16" s="19">
        <v>7</v>
      </c>
      <c r="F16" s="19">
        <v>8</v>
      </c>
      <c r="G16" s="19">
        <v>7</v>
      </c>
      <c r="H16" s="17">
        <f t="shared" si="0"/>
        <v>7.15</v>
      </c>
      <c r="I16" s="16" t="s">
        <v>76</v>
      </c>
    </row>
    <row r="17" spans="1:9" ht="56.25" customHeight="1" x14ac:dyDescent="0.2">
      <c r="A17" s="15">
        <v>13</v>
      </c>
      <c r="B17" s="16" t="s">
        <v>63</v>
      </c>
      <c r="C17" s="15">
        <v>5</v>
      </c>
      <c r="D17" s="15">
        <v>6</v>
      </c>
      <c r="E17" s="15">
        <v>5</v>
      </c>
      <c r="F17" s="15">
        <v>5</v>
      </c>
      <c r="G17" s="15">
        <v>6</v>
      </c>
      <c r="H17" s="17">
        <f t="shared" si="0"/>
        <v>5.35</v>
      </c>
      <c r="I17" s="16" t="s">
        <v>77</v>
      </c>
    </row>
  </sheetData>
  <mergeCells count="2">
    <mergeCell ref="A1:J1"/>
    <mergeCell ref="A2:J2"/>
  </mergeCells>
  <dataValidations count="1">
    <dataValidation type="whole" errorTitle="Invalid Score" error="Please enter a score between 1 and 10" sqref="C5:G17" xr:uid="{00000000-0002-0000-0200-000000000000}">
      <formula1>1</formula1>
      <formula2>10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zoomScaleNormal="100" workbookViewId="0">
      <pane xSplit="2" ySplit="4" topLeftCell="C5" activePane="bottomRight" state="frozen"/>
      <selection pane="topRight" activeCell="C1" sqref="C1"/>
      <selection pane="bottomLeft" activeCell="A5" sqref="A5"/>
      <selection pane="bottomRight" sqref="A1:J1"/>
    </sheetView>
  </sheetViews>
  <sheetFormatPr baseColWidth="10" defaultColWidth="8.6640625" defaultRowHeight="15" x14ac:dyDescent="0.2"/>
  <cols>
    <col min="1" max="1" width="13.83203125" customWidth="1"/>
    <col min="2" max="2" width="30.1640625" customWidth="1"/>
    <col min="3" max="3" width="12" customWidth="1"/>
    <col min="4" max="5" width="13" customWidth="1"/>
    <col min="6" max="6" width="12" customWidth="1"/>
    <col min="7" max="8" width="14" customWidth="1"/>
    <col min="9" max="9" width="87.1640625" customWidth="1"/>
  </cols>
  <sheetData>
    <row r="1" spans="1:10" ht="24.75" customHeight="1" x14ac:dyDescent="0.2">
      <c r="A1" s="31" t="s">
        <v>78</v>
      </c>
      <c r="B1" s="31"/>
      <c r="C1" s="31"/>
      <c r="D1" s="31"/>
      <c r="E1" s="31"/>
      <c r="F1" s="31"/>
      <c r="G1" s="31"/>
      <c r="H1" s="31"/>
      <c r="I1" s="31"/>
      <c r="J1" s="31"/>
    </row>
    <row r="2" spans="1:10" ht="15" customHeight="1" x14ac:dyDescent="0.2">
      <c r="A2" s="32" t="s">
        <v>30</v>
      </c>
      <c r="B2" s="32"/>
      <c r="C2" s="32"/>
      <c r="D2" s="32"/>
      <c r="E2" s="32"/>
      <c r="F2" s="32"/>
      <c r="G2" s="32"/>
      <c r="H2" s="32"/>
      <c r="I2" s="32"/>
      <c r="J2" s="32"/>
    </row>
    <row r="3" spans="1:10" ht="42.75" customHeight="1" x14ac:dyDescent="0.2">
      <c r="A3" s="12" t="s">
        <v>31</v>
      </c>
      <c r="B3" s="13"/>
      <c r="C3" s="12" t="s">
        <v>32</v>
      </c>
      <c r="D3" s="12" t="s">
        <v>33</v>
      </c>
      <c r="E3" s="12" t="s">
        <v>34</v>
      </c>
      <c r="F3" s="12" t="s">
        <v>33</v>
      </c>
      <c r="G3" s="12" t="s">
        <v>32</v>
      </c>
      <c r="H3" s="13"/>
      <c r="I3" s="13"/>
    </row>
    <row r="4" spans="1:10" ht="34.5" customHeight="1" x14ac:dyDescent="0.2">
      <c r="A4" s="14" t="s">
        <v>35</v>
      </c>
      <c r="B4" s="14" t="s">
        <v>36</v>
      </c>
      <c r="C4" s="14" t="s">
        <v>37</v>
      </c>
      <c r="D4" s="14" t="s">
        <v>38</v>
      </c>
      <c r="E4" s="14" t="s">
        <v>39</v>
      </c>
      <c r="F4" s="14" t="s">
        <v>40</v>
      </c>
      <c r="G4" s="14" t="s">
        <v>41</v>
      </c>
      <c r="H4" s="14" t="s">
        <v>42</v>
      </c>
      <c r="I4" s="14" t="s">
        <v>43</v>
      </c>
    </row>
    <row r="5" spans="1:10" ht="15" customHeight="1" x14ac:dyDescent="0.2">
      <c r="A5" s="15">
        <v>1</v>
      </c>
      <c r="B5" s="16" t="s">
        <v>44</v>
      </c>
      <c r="C5" s="15">
        <v>7</v>
      </c>
      <c r="D5" s="15">
        <v>6</v>
      </c>
      <c r="E5" s="15">
        <v>7</v>
      </c>
      <c r="F5" s="15">
        <v>6</v>
      </c>
      <c r="G5" s="15">
        <v>7</v>
      </c>
      <c r="H5" s="17">
        <f t="shared" ref="H5:H17" si="0">IF(COUNTA(C5:G5)=5,(0.1*C5+0.25*D5+0.3*E5+0.25*F5+0.1*G5),"")</f>
        <v>6.5000000000000009</v>
      </c>
      <c r="I5" s="16" t="s">
        <v>79</v>
      </c>
    </row>
    <row r="6" spans="1:10" ht="15" customHeight="1" x14ac:dyDescent="0.2">
      <c r="A6" s="15">
        <v>2</v>
      </c>
      <c r="B6" s="18" t="s">
        <v>45</v>
      </c>
      <c r="C6" s="19">
        <v>6</v>
      </c>
      <c r="D6" s="19">
        <v>7</v>
      </c>
      <c r="E6" s="19">
        <v>7</v>
      </c>
      <c r="F6" s="19">
        <v>6</v>
      </c>
      <c r="G6" s="19">
        <v>7</v>
      </c>
      <c r="H6" s="17">
        <f t="shared" si="0"/>
        <v>6.65</v>
      </c>
      <c r="I6" s="16" t="s">
        <v>80</v>
      </c>
    </row>
    <row r="7" spans="1:10" ht="15" customHeight="1" x14ac:dyDescent="0.2">
      <c r="A7" s="15">
        <v>3</v>
      </c>
      <c r="B7" s="16" t="s">
        <v>47</v>
      </c>
      <c r="C7" s="15">
        <v>9</v>
      </c>
      <c r="D7" s="15">
        <v>8</v>
      </c>
      <c r="E7" s="15">
        <v>8</v>
      </c>
      <c r="F7" s="15">
        <v>8</v>
      </c>
      <c r="G7" s="15">
        <v>10</v>
      </c>
      <c r="H7" s="17">
        <f t="shared" si="0"/>
        <v>8.3000000000000007</v>
      </c>
      <c r="I7" s="16" t="s">
        <v>81</v>
      </c>
    </row>
    <row r="8" spans="1:10" ht="15" customHeight="1" x14ac:dyDescent="0.2">
      <c r="A8" s="15">
        <v>4</v>
      </c>
      <c r="B8" s="18" t="s">
        <v>48</v>
      </c>
      <c r="C8" s="19">
        <v>6</v>
      </c>
      <c r="D8" s="19">
        <v>8</v>
      </c>
      <c r="E8" s="19">
        <v>8</v>
      </c>
      <c r="F8" s="19">
        <v>5</v>
      </c>
      <c r="G8" s="19">
        <v>8</v>
      </c>
      <c r="H8" s="17">
        <f t="shared" si="0"/>
        <v>7.05</v>
      </c>
      <c r="I8" s="16" t="s">
        <v>82</v>
      </c>
    </row>
    <row r="9" spans="1:10" ht="15" customHeight="1" x14ac:dyDescent="0.2">
      <c r="A9" s="15">
        <v>5</v>
      </c>
      <c r="B9" s="16" t="s">
        <v>49</v>
      </c>
      <c r="C9" s="15">
        <v>2</v>
      </c>
      <c r="D9" s="15">
        <v>4</v>
      </c>
      <c r="E9" s="15">
        <v>6</v>
      </c>
      <c r="F9" s="15">
        <v>3</v>
      </c>
      <c r="G9" s="15">
        <v>5</v>
      </c>
      <c r="H9" s="17">
        <f t="shared" si="0"/>
        <v>4.25</v>
      </c>
      <c r="I9" s="16" t="s">
        <v>83</v>
      </c>
    </row>
    <row r="10" spans="1:10" ht="15" customHeight="1" x14ac:dyDescent="0.2">
      <c r="A10" s="15">
        <v>6</v>
      </c>
      <c r="B10" s="18" t="s">
        <v>51</v>
      </c>
      <c r="C10" s="19">
        <v>7</v>
      </c>
      <c r="D10" s="19">
        <v>6</v>
      </c>
      <c r="E10" s="19">
        <v>7</v>
      </c>
      <c r="F10" s="19">
        <v>8</v>
      </c>
      <c r="G10" s="19">
        <v>9</v>
      </c>
      <c r="H10" s="17">
        <f t="shared" si="0"/>
        <v>7.2000000000000011</v>
      </c>
      <c r="I10" s="16" t="s">
        <v>84</v>
      </c>
    </row>
    <row r="11" spans="1:10" ht="15" customHeight="1" x14ac:dyDescent="0.2">
      <c r="A11" s="15">
        <v>7</v>
      </c>
      <c r="B11" s="16" t="s">
        <v>53</v>
      </c>
      <c r="C11" s="15">
        <v>2</v>
      </c>
      <c r="D11" s="15">
        <v>7</v>
      </c>
      <c r="E11" s="15">
        <v>6</v>
      </c>
      <c r="F11" s="15">
        <v>7</v>
      </c>
      <c r="G11" s="15">
        <v>8</v>
      </c>
      <c r="H11" s="17">
        <f t="shared" si="0"/>
        <v>6.3</v>
      </c>
      <c r="I11" s="16" t="s">
        <v>85</v>
      </c>
    </row>
    <row r="12" spans="1:10" ht="15" customHeight="1" x14ac:dyDescent="0.2">
      <c r="A12" s="15">
        <v>8</v>
      </c>
      <c r="B12" s="18" t="s">
        <v>55</v>
      </c>
      <c r="C12" s="19">
        <v>9</v>
      </c>
      <c r="D12" s="19">
        <v>7</v>
      </c>
      <c r="E12" s="19">
        <v>6</v>
      </c>
      <c r="F12" s="19">
        <v>8</v>
      </c>
      <c r="G12" s="19">
        <v>8</v>
      </c>
      <c r="H12" s="17">
        <f t="shared" si="0"/>
        <v>7.2499999999999991</v>
      </c>
      <c r="I12" s="16" t="s">
        <v>86</v>
      </c>
    </row>
    <row r="13" spans="1:10" ht="15" customHeight="1" x14ac:dyDescent="0.2">
      <c r="A13" s="15">
        <v>9</v>
      </c>
      <c r="B13" s="16" t="s">
        <v>57</v>
      </c>
      <c r="C13" s="15">
        <v>7</v>
      </c>
      <c r="D13" s="15">
        <v>6</v>
      </c>
      <c r="E13" s="15">
        <v>5</v>
      </c>
      <c r="F13" s="15">
        <v>7</v>
      </c>
      <c r="G13" s="15">
        <v>7</v>
      </c>
      <c r="H13" s="17">
        <f t="shared" si="0"/>
        <v>6.15</v>
      </c>
      <c r="I13" s="16" t="s">
        <v>87</v>
      </c>
    </row>
    <row r="14" spans="1:10" ht="15" customHeight="1" x14ac:dyDescent="0.2">
      <c r="A14" s="15">
        <v>10</v>
      </c>
      <c r="B14" s="18" t="s">
        <v>58</v>
      </c>
      <c r="C14" s="19">
        <v>8</v>
      </c>
      <c r="D14" s="19">
        <v>6</v>
      </c>
      <c r="E14" s="19">
        <v>6</v>
      </c>
      <c r="F14" s="19">
        <v>7</v>
      </c>
      <c r="G14" s="19">
        <v>8</v>
      </c>
      <c r="H14" s="17">
        <f t="shared" si="0"/>
        <v>6.6499999999999995</v>
      </c>
      <c r="I14" s="16" t="s">
        <v>88</v>
      </c>
    </row>
    <row r="15" spans="1:10" ht="15" customHeight="1" x14ac:dyDescent="0.2">
      <c r="A15" s="15">
        <v>11</v>
      </c>
      <c r="B15" s="16" t="s">
        <v>60</v>
      </c>
      <c r="C15" s="15">
        <v>6</v>
      </c>
      <c r="D15" s="15">
        <v>7</v>
      </c>
      <c r="E15" s="15">
        <v>6</v>
      </c>
      <c r="F15" s="15">
        <v>7</v>
      </c>
      <c r="G15" s="15">
        <v>7</v>
      </c>
      <c r="H15" s="17">
        <f t="shared" si="0"/>
        <v>6.6000000000000005</v>
      </c>
      <c r="I15" s="16" t="s">
        <v>89</v>
      </c>
    </row>
    <row r="16" spans="1:10" ht="15" customHeight="1" x14ac:dyDescent="0.2">
      <c r="A16" s="15">
        <v>12</v>
      </c>
      <c r="B16" s="18" t="s">
        <v>61</v>
      </c>
      <c r="C16" s="19">
        <v>6</v>
      </c>
      <c r="D16" s="19">
        <v>8</v>
      </c>
      <c r="E16" s="19">
        <v>8</v>
      </c>
      <c r="F16" s="19">
        <v>8</v>
      </c>
      <c r="G16" s="19">
        <v>7</v>
      </c>
      <c r="H16" s="17">
        <f t="shared" si="0"/>
        <v>7.7</v>
      </c>
      <c r="I16" s="16" t="s">
        <v>90</v>
      </c>
    </row>
    <row r="17" spans="1:9" ht="15" customHeight="1" x14ac:dyDescent="0.2">
      <c r="A17" s="15">
        <v>13</v>
      </c>
      <c r="B17" s="16" t="s">
        <v>63</v>
      </c>
      <c r="C17" s="15">
        <v>6</v>
      </c>
      <c r="D17" s="15">
        <v>6</v>
      </c>
      <c r="E17" s="15">
        <v>5</v>
      </c>
      <c r="F17" s="15">
        <v>7</v>
      </c>
      <c r="G17" s="15">
        <v>7</v>
      </c>
      <c r="H17" s="17">
        <f t="shared" si="0"/>
        <v>6.05</v>
      </c>
      <c r="I17" s="16" t="s">
        <v>91</v>
      </c>
    </row>
  </sheetData>
  <mergeCells count="2">
    <mergeCell ref="A1:J1"/>
    <mergeCell ref="A2:J2"/>
  </mergeCells>
  <dataValidations count="1">
    <dataValidation type="whole" errorTitle="Invalid Score" error="Please enter a score between 1 and 10" sqref="C5:G17" xr:uid="{00000000-0002-0000-0300-000000000000}">
      <formula1>1</formula1>
      <formula2>10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zoomScaleNormal="100" workbookViewId="0">
      <pane xSplit="2" ySplit="4" topLeftCell="C5" activePane="bottomRight" state="frozen"/>
      <selection pane="topRight" activeCell="C1" sqref="C1"/>
      <selection pane="bottomLeft" activeCell="A5" sqref="A5"/>
      <selection pane="bottomRight" sqref="A1:J1"/>
    </sheetView>
  </sheetViews>
  <sheetFormatPr baseColWidth="10" defaultColWidth="8.6640625" defaultRowHeight="15" x14ac:dyDescent="0.2"/>
  <cols>
    <col min="1" max="1" width="14.83203125" customWidth="1"/>
    <col min="2" max="2" width="31.5" customWidth="1"/>
    <col min="3" max="3" width="12" customWidth="1"/>
    <col min="4" max="5" width="13" customWidth="1"/>
    <col min="6" max="6" width="12" customWidth="1"/>
    <col min="7" max="8" width="14" customWidth="1"/>
    <col min="9" max="9" width="101" customWidth="1"/>
  </cols>
  <sheetData>
    <row r="1" spans="1:10" ht="24.75" customHeight="1" x14ac:dyDescent="0.2">
      <c r="A1" s="31" t="s">
        <v>92</v>
      </c>
      <c r="B1" s="31"/>
      <c r="C1" s="31"/>
      <c r="D1" s="31"/>
      <c r="E1" s="31"/>
      <c r="F1" s="31"/>
      <c r="G1" s="31"/>
      <c r="H1" s="31"/>
      <c r="I1" s="31"/>
      <c r="J1" s="31"/>
    </row>
    <row r="2" spans="1:10" ht="15" customHeight="1" x14ac:dyDescent="0.2">
      <c r="A2" s="32" t="s">
        <v>30</v>
      </c>
      <c r="B2" s="32"/>
      <c r="C2" s="32"/>
      <c r="D2" s="32"/>
      <c r="E2" s="32"/>
      <c r="F2" s="32"/>
      <c r="G2" s="32"/>
      <c r="H2" s="32"/>
      <c r="I2" s="32"/>
      <c r="J2" s="32"/>
    </row>
    <row r="3" spans="1:10" ht="42.75" customHeight="1" x14ac:dyDescent="0.2">
      <c r="A3" s="12" t="s">
        <v>31</v>
      </c>
      <c r="B3" s="13"/>
      <c r="C3" s="12" t="s">
        <v>32</v>
      </c>
      <c r="D3" s="12" t="s">
        <v>33</v>
      </c>
      <c r="E3" s="12" t="s">
        <v>34</v>
      </c>
      <c r="F3" s="12" t="s">
        <v>33</v>
      </c>
      <c r="G3" s="12" t="s">
        <v>32</v>
      </c>
      <c r="H3" s="13"/>
      <c r="I3" s="13"/>
    </row>
    <row r="4" spans="1:10" ht="34.5" customHeight="1" x14ac:dyDescent="0.2">
      <c r="A4" s="14" t="s">
        <v>35</v>
      </c>
      <c r="B4" s="14" t="s">
        <v>36</v>
      </c>
      <c r="C4" s="14" t="s">
        <v>37</v>
      </c>
      <c r="D4" s="14" t="s">
        <v>38</v>
      </c>
      <c r="E4" s="14" t="s">
        <v>39</v>
      </c>
      <c r="F4" s="14" t="s">
        <v>40</v>
      </c>
      <c r="G4" s="14" t="s">
        <v>41</v>
      </c>
      <c r="H4" s="14" t="s">
        <v>42</v>
      </c>
      <c r="I4" s="14" t="s">
        <v>43</v>
      </c>
    </row>
    <row r="5" spans="1:10" ht="15" customHeight="1" x14ac:dyDescent="0.2">
      <c r="A5" s="15">
        <v>1</v>
      </c>
      <c r="B5" s="16" t="s">
        <v>44</v>
      </c>
      <c r="C5" s="15">
        <v>5</v>
      </c>
      <c r="D5" s="15">
        <v>5</v>
      </c>
      <c r="E5" s="15">
        <v>7</v>
      </c>
      <c r="F5" s="15">
        <v>5</v>
      </c>
      <c r="G5" s="15">
        <v>7</v>
      </c>
      <c r="H5" s="17">
        <f t="shared" ref="H5:H17" si="0">IF(COUNTA(C5:G5)=5,(0.1*C5+0.25*D5+0.3*E5+0.25*F5+0.1*G5),"")</f>
        <v>5.8</v>
      </c>
      <c r="I5" s="26" t="s">
        <v>93</v>
      </c>
    </row>
    <row r="6" spans="1:10" ht="15" customHeight="1" x14ac:dyDescent="0.2">
      <c r="A6" s="15">
        <v>2</v>
      </c>
      <c r="B6" s="18" t="s">
        <v>45</v>
      </c>
      <c r="C6" s="19">
        <v>7</v>
      </c>
      <c r="D6" s="19">
        <v>5</v>
      </c>
      <c r="E6" s="19">
        <v>7</v>
      </c>
      <c r="F6" s="19">
        <v>5</v>
      </c>
      <c r="G6" s="19">
        <v>7</v>
      </c>
      <c r="H6" s="17">
        <f t="shared" si="0"/>
        <v>6.0000000000000009</v>
      </c>
      <c r="I6" s="16" t="s">
        <v>94</v>
      </c>
    </row>
    <row r="7" spans="1:10" ht="15" customHeight="1" x14ac:dyDescent="0.2">
      <c r="A7" s="15">
        <v>3</v>
      </c>
      <c r="B7" s="16" t="s">
        <v>47</v>
      </c>
      <c r="C7" s="15">
        <v>8</v>
      </c>
      <c r="D7" s="15">
        <v>8</v>
      </c>
      <c r="E7" s="15">
        <v>8</v>
      </c>
      <c r="F7" s="15">
        <v>8</v>
      </c>
      <c r="G7" s="15">
        <v>10</v>
      </c>
      <c r="H7" s="17">
        <f t="shared" si="0"/>
        <v>8.1999999999999993</v>
      </c>
      <c r="I7" s="16" t="s">
        <v>95</v>
      </c>
    </row>
    <row r="8" spans="1:10" ht="15" customHeight="1" x14ac:dyDescent="0.2">
      <c r="A8" s="15">
        <v>4</v>
      </c>
      <c r="B8" s="18" t="s">
        <v>48</v>
      </c>
      <c r="C8" s="19">
        <v>8</v>
      </c>
      <c r="D8" s="19">
        <v>8</v>
      </c>
      <c r="E8" s="19">
        <v>8</v>
      </c>
      <c r="F8" s="19">
        <v>10</v>
      </c>
      <c r="G8" s="19">
        <v>9</v>
      </c>
      <c r="H8" s="17">
        <f t="shared" si="0"/>
        <v>8.6</v>
      </c>
      <c r="I8" s="16" t="s">
        <v>96</v>
      </c>
    </row>
    <row r="9" spans="1:10" ht="15" customHeight="1" x14ac:dyDescent="0.2">
      <c r="A9" s="15">
        <v>5</v>
      </c>
      <c r="B9" s="16" t="s">
        <v>49</v>
      </c>
      <c r="C9" s="15">
        <v>2</v>
      </c>
      <c r="D9" s="15">
        <v>3</v>
      </c>
      <c r="E9" s="15">
        <v>4</v>
      </c>
      <c r="F9" s="15">
        <v>2</v>
      </c>
      <c r="G9" s="15">
        <v>5</v>
      </c>
      <c r="H9" s="17">
        <f t="shared" si="0"/>
        <v>3.15</v>
      </c>
      <c r="I9" s="16" t="s">
        <v>97</v>
      </c>
    </row>
    <row r="10" spans="1:10" ht="15" customHeight="1" x14ac:dyDescent="0.2">
      <c r="A10" s="15">
        <v>6</v>
      </c>
      <c r="B10" s="18" t="s">
        <v>51</v>
      </c>
      <c r="C10" s="19">
        <v>5</v>
      </c>
      <c r="D10" s="19">
        <v>4</v>
      </c>
      <c r="E10" s="19">
        <v>5</v>
      </c>
      <c r="F10" s="19">
        <v>5</v>
      </c>
      <c r="G10" s="19">
        <v>7</v>
      </c>
      <c r="H10" s="17">
        <f t="shared" si="0"/>
        <v>4.95</v>
      </c>
      <c r="I10" s="16" t="s">
        <v>98</v>
      </c>
    </row>
    <row r="11" spans="1:10" ht="15" customHeight="1" x14ac:dyDescent="0.2">
      <c r="A11" s="15">
        <v>7</v>
      </c>
      <c r="B11" s="16" t="s">
        <v>53</v>
      </c>
      <c r="C11" s="15">
        <v>2</v>
      </c>
      <c r="D11" s="15">
        <v>4</v>
      </c>
      <c r="E11" s="15">
        <v>6</v>
      </c>
      <c r="F11" s="15">
        <v>2</v>
      </c>
      <c r="G11" s="15">
        <v>8</v>
      </c>
      <c r="H11" s="17">
        <f t="shared" si="0"/>
        <v>4.3</v>
      </c>
      <c r="I11" s="16" t="s">
        <v>99</v>
      </c>
    </row>
    <row r="12" spans="1:10" ht="15" customHeight="1" x14ac:dyDescent="0.2">
      <c r="A12" s="15">
        <v>8</v>
      </c>
      <c r="B12" s="18" t="s">
        <v>55</v>
      </c>
      <c r="C12" s="19">
        <v>8</v>
      </c>
      <c r="D12" s="19">
        <v>6</v>
      </c>
      <c r="E12" s="19">
        <v>7</v>
      </c>
      <c r="F12" s="19">
        <v>6</v>
      </c>
      <c r="G12" s="19">
        <v>7</v>
      </c>
      <c r="H12" s="17">
        <f t="shared" si="0"/>
        <v>6.6000000000000005</v>
      </c>
      <c r="I12" s="16" t="s">
        <v>100</v>
      </c>
    </row>
    <row r="13" spans="1:10" ht="15" customHeight="1" x14ac:dyDescent="0.2">
      <c r="A13" s="15">
        <v>9</v>
      </c>
      <c r="B13" s="16" t="s">
        <v>57</v>
      </c>
      <c r="C13" s="15">
        <v>7</v>
      </c>
      <c r="D13" s="15">
        <v>4</v>
      </c>
      <c r="E13" s="15">
        <v>5</v>
      </c>
      <c r="F13" s="15">
        <v>5</v>
      </c>
      <c r="G13" s="15">
        <v>8</v>
      </c>
      <c r="H13" s="17">
        <f t="shared" si="0"/>
        <v>5.25</v>
      </c>
      <c r="I13" s="16" t="s">
        <v>101</v>
      </c>
    </row>
    <row r="14" spans="1:10" ht="15" customHeight="1" x14ac:dyDescent="0.2">
      <c r="A14" s="15">
        <v>10</v>
      </c>
      <c r="B14" s="18" t="s">
        <v>58</v>
      </c>
      <c r="C14" s="19">
        <v>6</v>
      </c>
      <c r="D14" s="19">
        <v>6</v>
      </c>
      <c r="E14" s="19">
        <v>6</v>
      </c>
      <c r="F14" s="19">
        <v>7</v>
      </c>
      <c r="G14" s="19">
        <v>6</v>
      </c>
      <c r="H14" s="17">
        <f t="shared" si="0"/>
        <v>6.25</v>
      </c>
      <c r="I14" s="16" t="s">
        <v>102</v>
      </c>
    </row>
    <row r="15" spans="1:10" ht="15" customHeight="1" x14ac:dyDescent="0.2">
      <c r="A15" s="15">
        <v>11</v>
      </c>
      <c r="B15" s="16" t="s">
        <v>60</v>
      </c>
      <c r="C15" s="15">
        <v>6</v>
      </c>
      <c r="D15" s="15">
        <v>6</v>
      </c>
      <c r="E15" s="15">
        <v>7</v>
      </c>
      <c r="F15" s="15">
        <v>7</v>
      </c>
      <c r="G15" s="15">
        <v>7</v>
      </c>
      <c r="H15" s="17">
        <f t="shared" si="0"/>
        <v>6.65</v>
      </c>
      <c r="I15" s="16" t="s">
        <v>103</v>
      </c>
    </row>
    <row r="16" spans="1:10" ht="15" customHeight="1" x14ac:dyDescent="0.2">
      <c r="A16" s="15">
        <v>12</v>
      </c>
      <c r="B16" s="18" t="s">
        <v>61</v>
      </c>
      <c r="C16" s="19">
        <v>7</v>
      </c>
      <c r="D16" s="19">
        <v>6</v>
      </c>
      <c r="E16" s="19">
        <v>7</v>
      </c>
      <c r="F16" s="19">
        <v>6</v>
      </c>
      <c r="G16" s="19">
        <v>8</v>
      </c>
      <c r="H16" s="17">
        <f t="shared" si="0"/>
        <v>6.6000000000000005</v>
      </c>
      <c r="I16" s="16" t="s">
        <v>104</v>
      </c>
    </row>
    <row r="17" spans="1:9" ht="15" customHeight="1" x14ac:dyDescent="0.2">
      <c r="A17" s="15">
        <v>13</v>
      </c>
      <c r="B17" s="16" t="s">
        <v>63</v>
      </c>
      <c r="C17" s="15">
        <v>7</v>
      </c>
      <c r="D17" s="15">
        <v>6</v>
      </c>
      <c r="E17" s="15">
        <v>6</v>
      </c>
      <c r="F17" s="15">
        <v>6</v>
      </c>
      <c r="G17" s="15">
        <v>7</v>
      </c>
      <c r="H17" s="17">
        <f t="shared" si="0"/>
        <v>6.2</v>
      </c>
      <c r="I17" s="16" t="s">
        <v>105</v>
      </c>
    </row>
  </sheetData>
  <mergeCells count="2">
    <mergeCell ref="A1:J1"/>
    <mergeCell ref="A2:J2"/>
  </mergeCells>
  <dataValidations count="1">
    <dataValidation type="whole" errorTitle="Invalid Score" error="Please enter a score between 1 and 10" sqref="C5:G17" xr:uid="{00000000-0002-0000-0400-000000000000}">
      <formula1>1</formula1>
      <formula2>10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zoomScaleNormal="100" workbookViewId="0">
      <selection activeCell="K7" sqref="K7"/>
    </sheetView>
  </sheetViews>
  <sheetFormatPr baseColWidth="10" defaultColWidth="8.6640625" defaultRowHeight="15" x14ac:dyDescent="0.2"/>
  <cols>
    <col min="1" max="1" width="4" customWidth="1"/>
    <col min="2" max="2" width="35.33203125" customWidth="1"/>
    <col min="3" max="6" width="10" customWidth="1"/>
    <col min="7" max="7" width="12" customWidth="1"/>
  </cols>
  <sheetData>
    <row r="1" spans="1:9" ht="24.75" customHeight="1" x14ac:dyDescent="0.2">
      <c r="A1" s="31" t="s">
        <v>106</v>
      </c>
      <c r="B1" s="31"/>
      <c r="C1" s="31"/>
      <c r="D1" s="31"/>
      <c r="E1" s="31"/>
      <c r="F1" s="31"/>
    </row>
    <row r="2" spans="1:9" ht="15" customHeight="1" x14ac:dyDescent="0.2">
      <c r="A2" s="32" t="s">
        <v>107</v>
      </c>
      <c r="B2" s="32"/>
      <c r="C2" s="32"/>
      <c r="D2" s="32"/>
      <c r="E2" s="32"/>
      <c r="F2" s="32"/>
    </row>
    <row r="3" spans="1:9" ht="24.75" customHeight="1" x14ac:dyDescent="0.2">
      <c r="A3" s="14" t="s">
        <v>35</v>
      </c>
      <c r="B3" s="14" t="s">
        <v>36</v>
      </c>
      <c r="C3" s="14" t="s">
        <v>108</v>
      </c>
      <c r="D3" s="14" t="s">
        <v>109</v>
      </c>
      <c r="E3" s="14" t="s">
        <v>110</v>
      </c>
      <c r="F3" s="14" t="s">
        <v>111</v>
      </c>
      <c r="G3" s="14" t="s">
        <v>112</v>
      </c>
    </row>
    <row r="4" spans="1:9" ht="15" customHeight="1" x14ac:dyDescent="0.2">
      <c r="A4" s="15">
        <v>1</v>
      </c>
      <c r="B4" s="16" t="s">
        <v>44</v>
      </c>
      <c r="C4" s="20">
        <f>IF(Byron!H5&lt;&gt;"",Byron!H5,"")</f>
        <v>5.65</v>
      </c>
      <c r="D4" s="20">
        <f>IF(Karthik!H5&lt;&gt;"",Karthik!H5,"")</f>
        <v>7.25</v>
      </c>
      <c r="E4" s="20">
        <f>IF(Molly!H5&lt;&gt;"",Molly!H5,"")</f>
        <v>6.5000000000000009</v>
      </c>
      <c r="F4" s="20">
        <f>IF(Jamie!H5&lt;&gt;"",Jamie!H5,"")</f>
        <v>5.8</v>
      </c>
      <c r="G4" s="21">
        <f t="shared" ref="G4:G16" si="0">IFERROR(IF(COUNT(C4:F4)&gt;0,AVERAGE(C4:F4),""),"")</f>
        <v>6.3000000000000007</v>
      </c>
      <c r="H4" t="s">
        <v>113</v>
      </c>
      <c r="I4" t="s">
        <v>114</v>
      </c>
    </row>
    <row r="5" spans="1:9" ht="15" customHeight="1" x14ac:dyDescent="0.2">
      <c r="A5" s="15">
        <v>2</v>
      </c>
      <c r="B5" s="16" t="s">
        <v>45</v>
      </c>
      <c r="C5" s="20">
        <f>IF(Byron!H6&lt;&gt;"",Byron!H6,"")</f>
        <v>5.75</v>
      </c>
      <c r="D5" s="20">
        <f>IF(Karthik!H6&lt;&gt;"",Karthik!H6,"")</f>
        <v>7.7</v>
      </c>
      <c r="E5" s="20">
        <f>IF(Molly!H6&lt;&gt;"",Molly!H6,"")</f>
        <v>6.65</v>
      </c>
      <c r="F5" s="20">
        <f>IF(Jamie!H6&lt;&gt;"",Jamie!H6,"")</f>
        <v>6.0000000000000009</v>
      </c>
      <c r="G5" s="21">
        <f t="shared" si="0"/>
        <v>6.5250000000000004</v>
      </c>
      <c r="H5" t="s">
        <v>113</v>
      </c>
    </row>
    <row r="6" spans="1:9" ht="15" customHeight="1" x14ac:dyDescent="0.2">
      <c r="A6" s="15">
        <v>3</v>
      </c>
      <c r="B6" s="16" t="s">
        <v>47</v>
      </c>
      <c r="C6" s="20">
        <f>IF(Byron!H7&lt;&gt;"",Byron!H7,"")</f>
        <v>6.7999999999999989</v>
      </c>
      <c r="D6" s="20">
        <f>IF(Karthik!H7&lt;&gt;"",Karthik!H7,"")</f>
        <v>7.25</v>
      </c>
      <c r="E6" s="20">
        <f>IF(Molly!H7&lt;&gt;"",Molly!H7,"")</f>
        <v>8.3000000000000007</v>
      </c>
      <c r="F6" s="20">
        <f>IF(Jamie!H7&lt;&gt;"",Jamie!H7,"")</f>
        <v>8.1999999999999993</v>
      </c>
      <c r="G6" s="21">
        <f t="shared" si="0"/>
        <v>7.6375000000000002</v>
      </c>
      <c r="H6" s="29" t="s">
        <v>113</v>
      </c>
      <c r="I6">
        <v>1</v>
      </c>
    </row>
    <row r="7" spans="1:9" ht="15" customHeight="1" x14ac:dyDescent="0.2">
      <c r="A7" s="15">
        <v>4</v>
      </c>
      <c r="B7" s="16" t="s">
        <v>48</v>
      </c>
      <c r="C7" s="20">
        <f>IF(Byron!H8&lt;&gt;"",Byron!H8,"")</f>
        <v>6.5</v>
      </c>
      <c r="D7" s="20">
        <f>IF(Karthik!H8&lt;&gt;"",Karthik!H8,"")</f>
        <v>7.45</v>
      </c>
      <c r="E7" s="20">
        <f>IF(Molly!H8&lt;&gt;"",Molly!H8,"")</f>
        <v>7.05</v>
      </c>
      <c r="F7" s="20">
        <f>IF(Jamie!H8&lt;&gt;"",Jamie!H8,"")</f>
        <v>8.6</v>
      </c>
      <c r="G7" s="21">
        <f t="shared" si="0"/>
        <v>7.4</v>
      </c>
      <c r="H7" s="29" t="s">
        <v>115</v>
      </c>
      <c r="I7">
        <v>2</v>
      </c>
    </row>
    <row r="8" spans="1:9" ht="15" customHeight="1" x14ac:dyDescent="0.2">
      <c r="A8" s="15">
        <v>5</v>
      </c>
      <c r="B8" s="16" t="s">
        <v>49</v>
      </c>
      <c r="C8" s="20">
        <f>IF(Byron!H9&lt;&gt;"",Byron!H9,"")</f>
        <v>6.0499999999999989</v>
      </c>
      <c r="D8" s="20">
        <f>IF(Karthik!H9&lt;&gt;"",Karthik!H9,"")</f>
        <v>6.3</v>
      </c>
      <c r="E8" s="20">
        <f>IF(Molly!H9&lt;&gt;"",Molly!H9,"")</f>
        <v>4.25</v>
      </c>
      <c r="F8" s="20">
        <f>IF(Jamie!H9&lt;&gt;"",Jamie!H9,"")</f>
        <v>3.15</v>
      </c>
      <c r="G8" s="21">
        <f t="shared" si="0"/>
        <v>4.9374999999999991</v>
      </c>
      <c r="H8" t="s">
        <v>113</v>
      </c>
      <c r="I8" t="s">
        <v>114</v>
      </c>
    </row>
    <row r="9" spans="1:9" ht="15" customHeight="1" x14ac:dyDescent="0.2">
      <c r="A9" s="15">
        <v>6</v>
      </c>
      <c r="B9" s="16" t="s">
        <v>51</v>
      </c>
      <c r="C9" s="20">
        <f>IF(Byron!H10&lt;&gt;"",Byron!H10,"")</f>
        <v>6.85</v>
      </c>
      <c r="D9" s="20">
        <f>IF(Karthik!H10&lt;&gt;"",Karthik!H10,"")</f>
        <v>7.2</v>
      </c>
      <c r="E9" s="20">
        <f>IF(Molly!H10&lt;&gt;"",Molly!H10,"")</f>
        <v>7.2000000000000011</v>
      </c>
      <c r="F9" s="20">
        <f>IF(Jamie!H10&lt;&gt;"",Jamie!H10,"")</f>
        <v>4.95</v>
      </c>
      <c r="G9" s="21">
        <f t="shared" si="0"/>
        <v>6.55</v>
      </c>
      <c r="H9" t="s">
        <v>113</v>
      </c>
    </row>
    <row r="10" spans="1:9" ht="15" customHeight="1" x14ac:dyDescent="0.2">
      <c r="A10" s="15">
        <v>7</v>
      </c>
      <c r="B10" s="16" t="s">
        <v>53</v>
      </c>
      <c r="C10" s="20">
        <f>IF(Byron!H11&lt;&gt;"",Byron!H11,"")</f>
        <v>6.95</v>
      </c>
      <c r="D10" s="20">
        <f>IF(Karthik!H11&lt;&gt;"",Karthik!H11,"")</f>
        <v>8.15</v>
      </c>
      <c r="E10" s="20">
        <f>IF(Molly!H11&lt;&gt;"",Molly!H11,"")</f>
        <v>6.3</v>
      </c>
      <c r="F10" s="20">
        <f>IF(Jamie!H11&lt;&gt;"",Jamie!H11,"")</f>
        <v>4.3</v>
      </c>
      <c r="G10" s="21">
        <f t="shared" si="0"/>
        <v>6.4250000000000007</v>
      </c>
      <c r="H10" t="s">
        <v>115</v>
      </c>
    </row>
    <row r="11" spans="1:9" ht="15" customHeight="1" x14ac:dyDescent="0.2">
      <c r="A11" s="15">
        <v>8</v>
      </c>
      <c r="B11" s="16" t="s">
        <v>55</v>
      </c>
      <c r="C11" s="20">
        <f>IF(Byron!H12&lt;&gt;"",Byron!H12,"")</f>
        <v>6.6999999999999993</v>
      </c>
      <c r="D11" s="20">
        <f>IF(Karthik!H12&lt;&gt;"",Karthik!H12,"")</f>
        <v>7.45</v>
      </c>
      <c r="E11" s="20">
        <f>IF(Molly!H12&lt;&gt;"",Molly!H12,"")</f>
        <v>7.2499999999999991</v>
      </c>
      <c r="F11" s="20">
        <f>IF(Jamie!H12&lt;&gt;"",Jamie!H12,"")</f>
        <v>6.6000000000000005</v>
      </c>
      <c r="G11" s="21">
        <f t="shared" si="0"/>
        <v>7</v>
      </c>
      <c r="H11" t="s">
        <v>115</v>
      </c>
    </row>
    <row r="12" spans="1:9" ht="15" customHeight="1" x14ac:dyDescent="0.2">
      <c r="A12" s="15">
        <v>9</v>
      </c>
      <c r="B12" s="16" t="s">
        <v>57</v>
      </c>
      <c r="C12" s="20">
        <f>IF(Byron!H13&lt;&gt;"",Byron!H13,"")</f>
        <v>6.7999999999999989</v>
      </c>
      <c r="D12" s="20">
        <f>IF(Karthik!H13&lt;&gt;"",Karthik!H13,"")</f>
        <v>6.65</v>
      </c>
      <c r="E12" s="20">
        <f>IF(Molly!H13&lt;&gt;"",Molly!H13,"")</f>
        <v>6.15</v>
      </c>
      <c r="F12" s="20">
        <f>IF(Jamie!H13&lt;&gt;"",Jamie!H13,"")</f>
        <v>5.25</v>
      </c>
      <c r="G12" s="21">
        <f t="shared" si="0"/>
        <v>6.2125000000000004</v>
      </c>
      <c r="H12" t="s">
        <v>113</v>
      </c>
    </row>
    <row r="13" spans="1:9" ht="15" customHeight="1" x14ac:dyDescent="0.2">
      <c r="A13" s="15">
        <v>10</v>
      </c>
      <c r="B13" s="16" t="s">
        <v>58</v>
      </c>
      <c r="C13" s="20">
        <f>IF(Byron!H14&lt;&gt;"",Byron!H14,"")</f>
        <v>6.95</v>
      </c>
      <c r="D13" s="20">
        <f>IF(Karthik!H14&lt;&gt;"",Karthik!H14,"")</f>
        <v>6.85</v>
      </c>
      <c r="E13" s="20">
        <f>IF(Molly!H14&lt;&gt;"",Molly!H14,"")</f>
        <v>6.6499999999999995</v>
      </c>
      <c r="F13" s="20">
        <f>IF(Jamie!H14&lt;&gt;"",Jamie!H14,"")</f>
        <v>6.25</v>
      </c>
      <c r="G13" s="21">
        <f t="shared" si="0"/>
        <v>6.6749999999999998</v>
      </c>
      <c r="H13" t="s">
        <v>115</v>
      </c>
    </row>
    <row r="14" spans="1:9" ht="15" customHeight="1" x14ac:dyDescent="0.2">
      <c r="A14" s="15">
        <v>11</v>
      </c>
      <c r="B14" s="16" t="s">
        <v>60</v>
      </c>
      <c r="C14" s="20">
        <f>IF(Byron!H15&lt;&gt;"",Byron!H15,"")</f>
        <v>7.3</v>
      </c>
      <c r="D14" s="20">
        <f>IF(Karthik!H15&lt;&gt;"",Karthik!H15,"")</f>
        <v>7.55</v>
      </c>
      <c r="E14" s="20">
        <f>IF(Molly!H15&lt;&gt;"",Molly!H15,"")</f>
        <v>6.6000000000000005</v>
      </c>
      <c r="F14" s="20">
        <f>IF(Jamie!H15&lt;&gt;"",Jamie!H15,"")</f>
        <v>6.65</v>
      </c>
      <c r="G14" s="21">
        <f t="shared" si="0"/>
        <v>7.0250000000000004</v>
      </c>
      <c r="H14" t="s">
        <v>115</v>
      </c>
    </row>
    <row r="15" spans="1:9" ht="15" customHeight="1" x14ac:dyDescent="0.2">
      <c r="A15" s="15">
        <v>12</v>
      </c>
      <c r="B15" s="16" t="s">
        <v>61</v>
      </c>
      <c r="C15" s="20">
        <f>IF(Byron!H16&lt;&gt;"",Byron!H16,"")</f>
        <v>6.95</v>
      </c>
      <c r="D15" s="20">
        <f>IF(Karthik!H16&lt;&gt;"",Karthik!H16,"")</f>
        <v>7.15</v>
      </c>
      <c r="E15" s="20">
        <f>IF(Molly!H16&lt;&gt;"",Molly!H16,"")</f>
        <v>7.7</v>
      </c>
      <c r="F15" s="20">
        <f>IF(Jamie!H16&lt;&gt;"",Jamie!H16,"")</f>
        <v>6.6000000000000005</v>
      </c>
      <c r="G15" s="21">
        <f t="shared" si="0"/>
        <v>7.1000000000000005</v>
      </c>
      <c r="H15" s="29" t="s">
        <v>113</v>
      </c>
      <c r="I15">
        <v>3</v>
      </c>
    </row>
    <row r="16" spans="1:9" ht="15" customHeight="1" x14ac:dyDescent="0.2">
      <c r="A16" s="15">
        <v>13</v>
      </c>
      <c r="B16" s="16" t="s">
        <v>63</v>
      </c>
      <c r="C16" s="20">
        <f>IF(Byron!H17&lt;&gt;"",Byron!H17,"")</f>
        <v>6.3999999999999995</v>
      </c>
      <c r="D16" s="20">
        <f>IF(Karthik!H17&lt;&gt;"",Karthik!H17,"")</f>
        <v>5.35</v>
      </c>
      <c r="E16" s="20">
        <f>IF(Molly!H17&lt;&gt;"",Molly!H17,"")</f>
        <v>6.05</v>
      </c>
      <c r="F16" s="20">
        <f>IF(Jamie!H17&lt;&gt;"",Jamie!H17,"")</f>
        <v>6.2</v>
      </c>
      <c r="G16" s="21">
        <f t="shared" si="0"/>
        <v>6</v>
      </c>
      <c r="H16" t="s">
        <v>113</v>
      </c>
      <c r="I16" t="s">
        <v>114</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30" zoomScaleNormal="130" workbookViewId="0">
      <selection activeCell="L5" sqref="L5"/>
    </sheetView>
  </sheetViews>
  <sheetFormatPr baseColWidth="10" defaultColWidth="8.6640625" defaultRowHeight="15" x14ac:dyDescent="0.2"/>
  <cols>
    <col min="1" max="1" width="8" customWidth="1"/>
    <col min="2" max="2" width="25.5" customWidth="1"/>
    <col min="3" max="3" width="12" customWidth="1"/>
    <col min="4" max="4" width="20.1640625" customWidth="1"/>
  </cols>
  <sheetData>
    <row r="1" spans="1:4" ht="24.75" customHeight="1" x14ac:dyDescent="0.2">
      <c r="A1" s="31" t="s">
        <v>116</v>
      </c>
      <c r="B1" s="31"/>
      <c r="C1" s="31"/>
      <c r="D1" s="31"/>
    </row>
    <row r="2" spans="1:4" ht="15" customHeight="1" x14ac:dyDescent="0.2">
      <c r="A2" s="32" t="s">
        <v>117</v>
      </c>
      <c r="B2" s="32"/>
      <c r="C2" s="32"/>
      <c r="D2" s="32"/>
    </row>
    <row r="3" spans="1:4" ht="15" customHeight="1" x14ac:dyDescent="0.2">
      <c r="A3" s="14" t="s">
        <v>118</v>
      </c>
      <c r="B3" s="14" t="s">
        <v>36</v>
      </c>
      <c r="C3" s="14" t="s">
        <v>119</v>
      </c>
      <c r="D3" s="14" t="s">
        <v>120</v>
      </c>
    </row>
    <row r="4" spans="1:4" ht="15" customHeight="1" x14ac:dyDescent="0.2">
      <c r="A4" s="15">
        <v>1</v>
      </c>
      <c r="B4" s="16" t="str">
        <f>IFERROR(INDEX('📊 Summary'!$B$4:$B$16,MATCH(LARGE('📊 Summary'!$G$4:$G$16,1),'📊 Summary'!$G$4:$G$16,0)),"")</f>
        <v>The Sentinels</v>
      </c>
      <c r="C4" s="20">
        <f>IFERROR(LARGE('📊 Summary'!$G$4:$G$16,1),"")</f>
        <v>7.6375000000000002</v>
      </c>
      <c r="D4" s="22" t="s">
        <v>121</v>
      </c>
    </row>
    <row r="5" spans="1:4" ht="15" customHeight="1" x14ac:dyDescent="0.2">
      <c r="A5" s="15">
        <v>2</v>
      </c>
      <c r="B5" s="16" t="str">
        <f>IFERROR(INDEX('📊 Summary'!$B$4:$B$16,MATCH(LARGE('📊 Summary'!$G$4:$G$16,2),'📊 Summary'!$G$4:$G$16,0)),"")</f>
        <v>Lockathon</v>
      </c>
      <c r="C5" s="20">
        <f>IFERROR(LARGE('📊 Summary'!$G$4:$G$16,2),"")</f>
        <v>7.4</v>
      </c>
      <c r="D5" s="23" t="s">
        <v>122</v>
      </c>
    </row>
    <row r="6" spans="1:4" ht="15" customHeight="1" x14ac:dyDescent="0.2">
      <c r="A6" s="15">
        <v>3</v>
      </c>
      <c r="B6" s="16" t="str">
        <f>IFERROR(INDEX('📊 Summary'!$B$4:$B$16,MATCH(LARGE('📊 Summary'!$G$4:$G$16,3),'📊 Summary'!$G$4:$G$16,0)),"")</f>
        <v>Ticket Hunters</v>
      </c>
      <c r="C6" s="20">
        <f>IFERROR(LARGE('📊 Summary'!$G$4:$G$16,3),"")</f>
        <v>7.1000000000000005</v>
      </c>
      <c r="D6" s="24" t="s">
        <v>123</v>
      </c>
    </row>
    <row r="7" spans="1:4" ht="15" customHeight="1" x14ac:dyDescent="0.2">
      <c r="A7" s="15">
        <v>4</v>
      </c>
      <c r="B7" s="16" t="str">
        <f>IFERROR(INDEX('📊 Summary'!$B$4:$B$16,MATCH(LARGE('📊 Summary'!$G$4:$G$16,4),'📊 Summary'!$G$4:$G$16,0)),"")</f>
        <v>Lockton Legends</v>
      </c>
      <c r="C7" s="20">
        <f>IFERROR(LARGE('📊 Summary'!$G$4:$G$16,4),"")</f>
        <v>7.0250000000000004</v>
      </c>
      <c r="D7" s="25"/>
    </row>
    <row r="8" spans="1:4" ht="15" customHeight="1" x14ac:dyDescent="0.2">
      <c r="A8" s="15">
        <v>5</v>
      </c>
      <c r="B8" s="16" t="str">
        <f>IFERROR(INDEX('📊 Summary'!$B$4:$B$16,MATCH(LARGE('📊 Summary'!$G$4:$G$16,5),'📊 Summary'!$G$4:$G$16,0)),"")</f>
        <v>Lockton AIvengers</v>
      </c>
      <c r="C8" s="20">
        <f>IFERROR(LARGE('📊 Summary'!$G$4:$G$16,5),"")</f>
        <v>7</v>
      </c>
      <c r="D8" s="30"/>
    </row>
    <row r="9" spans="1:4" ht="15" customHeight="1" x14ac:dyDescent="0.2">
      <c r="A9" s="15">
        <v>6</v>
      </c>
      <c r="B9" s="16" t="str">
        <f>IFERROR(INDEX('📊 Summary'!$B$4:$B$16,MATCH(LARGE('📊 Summary'!$G$4:$G$16,6),'📊 Summary'!$G$4:$G$16,0)),"")</f>
        <v>PO 360</v>
      </c>
      <c r="C9" s="20">
        <f>IFERROR(LARGE('📊 Summary'!$G$4:$G$16,6),"")</f>
        <v>6.6749999999999998</v>
      </c>
      <c r="D9" s="25"/>
    </row>
    <row r="10" spans="1:4" ht="15" customHeight="1" x14ac:dyDescent="0.2">
      <c r="A10" s="15">
        <v>7</v>
      </c>
      <c r="B10" s="16" t="str">
        <f>IFERROR(INDEX('📊 Summary'!$B$4:$B$16,MATCH(LARGE('📊 Summary'!$G$4:$G$16,7),'📊 Summary'!$G$4:$G$16,0)),"")</f>
        <v>Jnana Flux</v>
      </c>
      <c r="C10" s="20">
        <f>IFERROR(LARGE('📊 Summary'!$G$4:$G$16,7),"")</f>
        <v>6.55</v>
      </c>
      <c r="D10" s="25"/>
    </row>
    <row r="11" spans="1:4" ht="15" customHeight="1" x14ac:dyDescent="0.2">
      <c r="A11" s="15">
        <v>8</v>
      </c>
      <c r="B11" s="16" t="str">
        <f>IFERROR(INDEX('📊 Summary'!$B$4:$B$16,MATCH(LARGE('📊 Summary'!$G$4:$G$16,8),'📊 Summary'!$G$4:$G$16,0)),"")</f>
        <v>Lockton Tech Squad</v>
      </c>
      <c r="C11" s="20">
        <f>IFERROR(LARGE('📊 Summary'!$G$4:$G$16,8),"")</f>
        <v>6.5250000000000004</v>
      </c>
      <c r="D11" s="25"/>
    </row>
    <row r="12" spans="1:4" ht="15" customHeight="1" x14ac:dyDescent="0.2">
      <c r="A12" s="15">
        <v>9</v>
      </c>
      <c r="B12" s="16" t="str">
        <f>IFERROR(INDEX('📊 Summary'!$B$4:$B$16,MATCH(LARGE('📊 Summary'!$G$4:$G$16,9),'📊 Summary'!$G$4:$G$16,0)),"")</f>
        <v>Locktonauts</v>
      </c>
      <c r="C12" s="20">
        <f>IFERROR(LARGE('📊 Summary'!$G$4:$G$16,9),"")</f>
        <v>6.4250000000000007</v>
      </c>
      <c r="D12" s="25"/>
    </row>
    <row r="13" spans="1:4" ht="15" customHeight="1" x14ac:dyDescent="0.2">
      <c r="A13" s="15">
        <v>10</v>
      </c>
      <c r="B13" s="16" t="str">
        <f>IFERROR(INDEX('📊 Summary'!$B$4:$B$16,MATCH(LARGE('📊 Summary'!$G$4:$G$16,10),'📊 Summary'!$G$4:$G$16,0)),"")</f>
        <v>Lockton Govern-Lens</v>
      </c>
      <c r="C13" s="20">
        <f>IFERROR(LARGE('📊 Summary'!$G$4:$G$16,10),"")</f>
        <v>6.3000000000000007</v>
      </c>
      <c r="D13" s="25"/>
    </row>
    <row r="14" spans="1:4" ht="15" customHeight="1" x14ac:dyDescent="0.2">
      <c r="A14" s="15">
        <v>11</v>
      </c>
      <c r="B14" s="16" t="str">
        <f>IFERROR(INDEX('📊 Summary'!$B$4:$B$16,MATCH(LARGE('📊 Summary'!$G$4:$G$16,11),'📊 Summary'!$G$4:$G$16,0)),"")</f>
        <v>Hack &amp; LOCK</v>
      </c>
      <c r="C14" s="20">
        <f>IFERROR(LARGE('📊 Summary'!$G$4:$G$16,11),"")</f>
        <v>6.2125000000000004</v>
      </c>
      <c r="D14" s="25"/>
    </row>
    <row r="15" spans="1:4" ht="15" customHeight="1" x14ac:dyDescent="0.2">
      <c r="A15" s="15">
        <v>12</v>
      </c>
      <c r="B15" s="16" t="str">
        <f>IFERROR(INDEX('📊 Summary'!$B$4:$B$16,MATCH(LARGE('📊 Summary'!$G$4:$G$16,12),'📊 Summary'!$G$4:$G$16,0)),"")</f>
        <v>CloudMesh</v>
      </c>
      <c r="C15" s="20">
        <f>IFERROR(LARGE('📊 Summary'!$G$4:$G$16,12),"")</f>
        <v>6</v>
      </c>
      <c r="D15" s="25"/>
    </row>
    <row r="16" spans="1:4" ht="15" customHeight="1" x14ac:dyDescent="0.2">
      <c r="A16" s="15">
        <v>13</v>
      </c>
      <c r="B16" s="16" t="str">
        <f>IFERROR(INDEX('📊 Summary'!$B$4:$B$16,MATCH(LARGE('📊 Summary'!$G$4:$G$16,13),'📊 Summary'!$G$4:$G$16,0)),"")</f>
        <v>Neural Ninjas</v>
      </c>
      <c r="C16" s="20">
        <f>IFERROR(LARGE('📊 Summary'!$G$4:$G$16,13),"")</f>
        <v>4.9374999999999991</v>
      </c>
      <c r="D16" s="25"/>
    </row>
  </sheetData>
  <mergeCells count="2">
    <mergeCell ref="A1:D1"/>
    <mergeCell ref="A2:D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ECF5D48792EF409816019879905C3E" ma:contentTypeVersion="9" ma:contentTypeDescription="Create a new document." ma:contentTypeScope="" ma:versionID="2b37f27905f7f561874ef8e8f5d976c9">
  <xsd:schema xmlns:xsd="http://www.w3.org/2001/XMLSchema" xmlns:xs="http://www.w3.org/2001/XMLSchema" xmlns:p="http://schemas.microsoft.com/office/2006/metadata/properties" xmlns:ns2="3c8527bd-692e-44a7-b25e-31a31f9fb735" targetNamespace="http://schemas.microsoft.com/office/2006/metadata/properties" ma:root="true" ma:fieldsID="822d8ca4607e572caa62b2c8158f042a" ns2:_="">
    <xsd:import namespace="3c8527bd-692e-44a7-b25e-31a31f9fb7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8527bd-692e-44a7-b25e-31a31f9fb7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9c01303-47b0-4004-83a3-0cdf76824f9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8527bd-692e-44a7-b25e-31a31f9fb73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98FA6C-D577-469A-8894-8A7BEFDA5A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8527bd-692e-44a7-b25e-31a31f9fb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B7591F-DAFE-456C-9CAD-706B56DAE6BF}">
  <ds:schemaRefs>
    <ds:schemaRef ds:uri="http://schemas.microsoft.com/sharepoint/v3/contenttype/forms"/>
  </ds:schemaRefs>
</ds:datastoreItem>
</file>

<file path=customXml/itemProps3.xml><?xml version="1.0" encoding="utf-8"?>
<ds:datastoreItem xmlns:ds="http://schemas.openxmlformats.org/officeDocument/2006/customXml" ds:itemID="{86080C38-F8C0-48E9-A82B-F52F45172653}">
  <ds:schemaRefs>
    <ds:schemaRef ds:uri="http://purl.org/dc/elements/1.1/"/>
    <ds:schemaRef ds:uri="http://purl.org/dc/terms/"/>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3c8527bd-692e-44a7-b25e-31a31f9fb73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 Instructions</vt:lpstr>
      <vt:lpstr>Byron</vt:lpstr>
      <vt:lpstr>Karthik</vt:lpstr>
      <vt:lpstr>Molly</vt:lpstr>
      <vt:lpstr>Jamie</vt:lpstr>
      <vt:lpstr>📊 Summary</vt:lpstr>
      <vt:lpstr>🏅 Rankings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Ramadoss, Karthik</cp:lastModifiedBy>
  <cp:revision>0</cp:revision>
  <dcterms:created xsi:type="dcterms:W3CDTF">2026-01-01T04:14:56Z</dcterms:created>
  <dcterms:modified xsi:type="dcterms:W3CDTF">2026-01-22T16:45:09Z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0x010100FEECF5D48792EF409816019879905C3E</vt:lpwstr>
  </property>
  <property fmtid="{D5CDD505-2E9C-101B-9397-08002B2CF9AE}" pid="3" name="MediaServiceImageTags">
    <vt:lpwstr/>
  </property>
</Properties>
</file>